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纸嫁衣漫画\新建文件夹\隨筆\爲什麽高校喜歡搞“本科或研究生新生大揭秘”？\"/>
    </mc:Choice>
  </mc:AlternateContent>
  <xr:revisionPtr revIDLastSave="0" documentId="13_ncr:1_{C231B6EA-E76E-4C89-BEF4-E2FD2993521B}" xr6:coauthVersionLast="47" xr6:coauthVersionMax="47" xr10:uidLastSave="{00000000-0000-0000-0000-000000000000}"/>
  <bookViews>
    <workbookView xWindow="-98" yWindow="-98" windowWidth="21795" windowHeight="12345" xr2:uid="{00000000-000D-0000-FFFF-FFFF00000000}"/>
  </bookViews>
  <sheets>
    <sheet name="Sheet1" sheetId="1" r:id="rId1"/>
  </sheets>
  <definedNames>
    <definedName name="_xlnm._FilterDatabase" localSheetId="0" hidden="1">Sheet1!$U$1:$U$173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49" i="1" l="1"/>
  <c r="R171" i="1"/>
  <c r="G171" i="1"/>
  <c r="I171" i="1"/>
  <c r="J171" i="1"/>
  <c r="M171" i="1"/>
  <c r="N171" i="1"/>
  <c r="O171" i="1"/>
  <c r="P171" i="1"/>
  <c r="Q171" i="1"/>
  <c r="C171" i="1"/>
  <c r="F170" i="1"/>
  <c r="F171" i="1" s="1"/>
  <c r="H170" i="1"/>
  <c r="H171" i="1" s="1"/>
  <c r="K170" i="1"/>
  <c r="K171" i="1" s="1"/>
  <c r="L170" i="1"/>
  <c r="L171" i="1" s="1"/>
  <c r="S170" i="1"/>
  <c r="S171" i="1" s="1"/>
  <c r="E170" i="1"/>
  <c r="E171" i="1" s="1"/>
  <c r="D170" i="1"/>
  <c r="D171" i="1" s="1"/>
  <c r="B170" i="1"/>
  <c r="B171" i="1" s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6" i="1"/>
  <c r="U7" i="1"/>
  <c r="U8" i="1"/>
  <c r="U9" i="1"/>
  <c r="U5" i="1"/>
</calcChain>
</file>

<file path=xl/sharedStrings.xml><?xml version="1.0" encoding="utf-8"?>
<sst xmlns="http://schemas.openxmlformats.org/spreadsheetml/2006/main" count="332" uniqueCount="167">
  <si>
    <t>北京</t>
    <phoneticPr fontId="1" type="noConversion"/>
  </si>
  <si>
    <t>天津</t>
    <phoneticPr fontId="1" type="noConversion"/>
  </si>
  <si>
    <t>河北</t>
    <phoneticPr fontId="1" type="noConversion"/>
  </si>
  <si>
    <t>内蒙古</t>
    <phoneticPr fontId="1" type="noConversion"/>
  </si>
  <si>
    <t>遼寧</t>
    <phoneticPr fontId="1" type="noConversion"/>
  </si>
  <si>
    <t>吉林</t>
    <phoneticPr fontId="1" type="noConversion"/>
  </si>
  <si>
    <t>黑龍江</t>
    <phoneticPr fontId="1" type="noConversion"/>
  </si>
  <si>
    <t>山東</t>
    <phoneticPr fontId="1" type="noConversion"/>
  </si>
  <si>
    <t>河南</t>
    <phoneticPr fontId="1" type="noConversion"/>
  </si>
  <si>
    <t>陝西</t>
    <phoneticPr fontId="1" type="noConversion"/>
  </si>
  <si>
    <t>江蘇</t>
    <phoneticPr fontId="1" type="noConversion"/>
  </si>
  <si>
    <t>湖北</t>
    <phoneticPr fontId="1" type="noConversion"/>
  </si>
  <si>
    <t>江西</t>
    <phoneticPr fontId="1" type="noConversion"/>
  </si>
  <si>
    <t>福建</t>
    <phoneticPr fontId="1" type="noConversion"/>
  </si>
  <si>
    <t>廣東</t>
    <phoneticPr fontId="1" type="noConversion"/>
  </si>
  <si>
    <t>四川</t>
    <phoneticPr fontId="1" type="noConversion"/>
  </si>
  <si>
    <t>重慶</t>
    <phoneticPr fontId="1" type="noConversion"/>
  </si>
  <si>
    <t>雲南</t>
    <phoneticPr fontId="1" type="noConversion"/>
  </si>
  <si>
    <t>甘肅</t>
    <phoneticPr fontId="1" type="noConversion"/>
  </si>
  <si>
    <t>新疆</t>
    <phoneticPr fontId="1" type="noConversion"/>
  </si>
  <si>
    <t>石河子大學</t>
    <phoneticPr fontId="1" type="noConversion"/>
  </si>
  <si>
    <t>青海</t>
    <phoneticPr fontId="1" type="noConversion"/>
  </si>
  <si>
    <t>西藏</t>
    <phoneticPr fontId="1" type="noConversion"/>
  </si>
  <si>
    <t>上海</t>
    <phoneticPr fontId="1" type="noConversion"/>
  </si>
  <si>
    <t>安徽</t>
    <phoneticPr fontId="1" type="noConversion"/>
  </si>
  <si>
    <t>新生數目</t>
    <phoneticPr fontId="1" type="noConversion"/>
  </si>
  <si>
    <t>學院新生數目</t>
    <phoneticPr fontId="1" type="noConversion"/>
  </si>
  <si>
    <t>專業新生數目</t>
    <phoneticPr fontId="1" type="noConversion"/>
  </si>
  <si>
    <t>性別比例</t>
    <phoneticPr fontId="1" type="noConversion"/>
  </si>
  <si>
    <t>學院性別比例</t>
    <phoneticPr fontId="1" type="noConversion"/>
  </si>
  <si>
    <t>民族成分</t>
    <phoneticPr fontId="1" type="noConversion"/>
  </si>
  <si>
    <t>年齡分析</t>
    <phoneticPr fontId="1" type="noConversion"/>
  </si>
  <si>
    <t>生源地分析</t>
    <phoneticPr fontId="1" type="noConversion"/>
  </si>
  <si>
    <t>名字的巧合</t>
    <phoneticPr fontId="1" type="noConversion"/>
  </si>
  <si>
    <t>生日分析</t>
    <phoneticPr fontId="1" type="noConversion"/>
  </si>
  <si>
    <t>星座分析</t>
    <phoneticPr fontId="1" type="noConversion"/>
  </si>
  <si>
    <t>生源高中分析</t>
    <phoneticPr fontId="1" type="noConversion"/>
  </si>
  <si>
    <t>姓氏分析</t>
    <phoneticPr fontId="1" type="noConversion"/>
  </si>
  <si>
    <t>錄取途徑</t>
    <phoneticPr fontId="1" type="noConversion"/>
  </si>
  <si>
    <t>汕頭大學2025</t>
    <phoneticPr fontId="1" type="noConversion"/>
  </si>
  <si>
    <t>專業性別比例</t>
    <phoneticPr fontId="1" type="noConversion"/>
  </si>
  <si>
    <t>巧合的雙胞胎</t>
    <phoneticPr fontId="1" type="noConversion"/>
  </si>
  <si>
    <t>清華大學2025</t>
    <phoneticPr fontId="1" type="noConversion"/>
  </si>
  <si>
    <t>1（2020 小五爺）</t>
    <phoneticPr fontId="1" type="noConversion"/>
  </si>
  <si>
    <t>1（2020小五爺）</t>
    <phoneticPr fontId="1" type="noConversion"/>
  </si>
  <si>
    <t>1（非官號）</t>
    <phoneticPr fontId="1" type="noConversion"/>
  </si>
  <si>
    <t>新生愛好</t>
    <phoneticPr fontId="1" type="noConversion"/>
  </si>
  <si>
    <t>北京大學2025</t>
    <phoneticPr fontId="1" type="noConversion"/>
  </si>
  <si>
    <t>中國人民大學2022</t>
    <phoneticPr fontId="1" type="noConversion"/>
  </si>
  <si>
    <t>北京交通大學2025</t>
    <phoneticPr fontId="1" type="noConversion"/>
  </si>
  <si>
    <t>北京科技大學2025</t>
    <phoneticPr fontId="1" type="noConversion"/>
  </si>
  <si>
    <t>高考成績</t>
    <phoneticPr fontId="1" type="noConversion"/>
  </si>
  <si>
    <t>中央美術學院2024</t>
    <phoneticPr fontId="1" type="noConversion"/>
  </si>
  <si>
    <t>中國音樂學院2024</t>
    <phoneticPr fontId="1" type="noConversion"/>
  </si>
  <si>
    <t>天津大學2024</t>
    <phoneticPr fontId="1" type="noConversion"/>
  </si>
  <si>
    <t>南開大學2024</t>
    <phoneticPr fontId="1" type="noConversion"/>
  </si>
  <si>
    <t>河北工業大學2024</t>
    <phoneticPr fontId="1" type="noConversion"/>
  </si>
  <si>
    <t>天津工業大學2024</t>
    <phoneticPr fontId="1" type="noConversion"/>
  </si>
  <si>
    <t>河北大學2024</t>
    <phoneticPr fontId="1" type="noConversion"/>
  </si>
  <si>
    <t>燕山大學2025</t>
    <phoneticPr fontId="1" type="noConversion"/>
  </si>
  <si>
    <t>河北農業大學2024</t>
    <phoneticPr fontId="1" type="noConversion"/>
  </si>
  <si>
    <t>内蒙古大學2024</t>
    <phoneticPr fontId="1" type="noConversion"/>
  </si>
  <si>
    <t>内蒙古工業大學2024</t>
    <phoneticPr fontId="1" type="noConversion"/>
  </si>
  <si>
    <t>内蒙古農業大學2025</t>
    <phoneticPr fontId="1" type="noConversion"/>
  </si>
  <si>
    <t>大連理工大學2025</t>
    <phoneticPr fontId="1" type="noConversion"/>
  </si>
  <si>
    <t>東北大學秦皇島2025</t>
    <phoneticPr fontId="1" type="noConversion"/>
  </si>
  <si>
    <t>遼寧大學2025</t>
    <phoneticPr fontId="1" type="noConversion"/>
  </si>
  <si>
    <t>中國醫科大學2025</t>
    <phoneticPr fontId="1" type="noConversion"/>
  </si>
  <si>
    <t>瀋陽農業大學2025</t>
    <phoneticPr fontId="1" type="noConversion"/>
  </si>
  <si>
    <t>吉林大學2023</t>
    <phoneticPr fontId="1" type="noConversion"/>
  </si>
  <si>
    <t>吉林農業大學2025</t>
    <phoneticPr fontId="1" type="noConversion"/>
  </si>
  <si>
    <t>長春理工大學2025</t>
    <phoneticPr fontId="1" type="noConversion"/>
  </si>
  <si>
    <t>延邊大學2024</t>
    <phoneticPr fontId="1" type="noConversion"/>
  </si>
  <si>
    <t>哈爾濱工業大學2025</t>
    <phoneticPr fontId="1" type="noConversion"/>
  </si>
  <si>
    <t>哈爾濱工程大學2025</t>
    <phoneticPr fontId="1" type="noConversion"/>
  </si>
  <si>
    <t>東北農業大學2024</t>
    <phoneticPr fontId="1" type="noConversion"/>
  </si>
  <si>
    <t>東北林業大學2024</t>
    <phoneticPr fontId="1" type="noConversion"/>
  </si>
  <si>
    <t>黑龍江大學2024</t>
    <phoneticPr fontId="1" type="noConversion"/>
  </si>
  <si>
    <t>山東大學2025</t>
    <phoneticPr fontId="1" type="noConversion"/>
  </si>
  <si>
    <t>中國石油大學（華東）2025</t>
    <phoneticPr fontId="1" type="noConversion"/>
  </si>
  <si>
    <t>中國海洋大學2025</t>
    <phoneticPr fontId="1" type="noConversion"/>
  </si>
  <si>
    <t>青島大學2025</t>
    <phoneticPr fontId="1" type="noConversion"/>
  </si>
  <si>
    <t>山東師範大學2025</t>
    <phoneticPr fontId="1" type="noConversion"/>
  </si>
  <si>
    <t>山東農業大學2025</t>
    <phoneticPr fontId="1" type="noConversion"/>
  </si>
  <si>
    <t>河南大學2025</t>
    <phoneticPr fontId="1" type="noConversion"/>
  </si>
  <si>
    <t>鄭州大學2025</t>
    <phoneticPr fontId="1" type="noConversion"/>
  </si>
  <si>
    <t>河南農業大學2025</t>
    <phoneticPr fontId="1" type="noConversion"/>
  </si>
  <si>
    <t>河南工業大學2025</t>
    <phoneticPr fontId="1" type="noConversion"/>
  </si>
  <si>
    <t>西北工業大學2025</t>
    <phoneticPr fontId="1" type="noConversion"/>
  </si>
  <si>
    <t>西安交通大學2025</t>
    <phoneticPr fontId="1" type="noConversion"/>
  </si>
  <si>
    <t>西北農林科技大學2025</t>
    <phoneticPr fontId="1" type="noConversion"/>
  </si>
  <si>
    <t>西北大學2025</t>
    <phoneticPr fontId="1" type="noConversion"/>
  </si>
  <si>
    <t>陝西科技大學2025</t>
    <phoneticPr fontId="1" type="noConversion"/>
  </si>
  <si>
    <t>延安大學2025</t>
    <phoneticPr fontId="1" type="noConversion"/>
  </si>
  <si>
    <t>南京大學2025</t>
    <phoneticPr fontId="1" type="noConversion"/>
  </si>
  <si>
    <t>南京師範大學2025</t>
    <phoneticPr fontId="1" type="noConversion"/>
  </si>
  <si>
    <t>南京農業大學2025</t>
    <phoneticPr fontId="1" type="noConversion"/>
  </si>
  <si>
    <t>河海大學2025</t>
    <phoneticPr fontId="1" type="noConversion"/>
  </si>
  <si>
    <t>河流流域</t>
    <phoneticPr fontId="1" type="noConversion"/>
  </si>
  <si>
    <t>東南大學2025</t>
    <phoneticPr fontId="1" type="noConversion"/>
  </si>
  <si>
    <t>中國礦業大學2025</t>
    <phoneticPr fontId="1" type="noConversion"/>
  </si>
  <si>
    <t>蘇州大學2025</t>
    <phoneticPr fontId="1" type="noConversion"/>
  </si>
  <si>
    <t>“巧合”的雙胞胎</t>
    <phoneticPr fontId="1" type="noConversion"/>
  </si>
  <si>
    <t>江南大學2025</t>
    <phoneticPr fontId="1" type="noConversion"/>
  </si>
  <si>
    <t>常州大學2025</t>
    <phoneticPr fontId="1" type="noConversion"/>
  </si>
  <si>
    <t>蘇州科技大學2024</t>
    <phoneticPr fontId="1" type="noConversion"/>
  </si>
  <si>
    <t>江蘇大學2025</t>
    <phoneticPr fontId="1" type="noConversion"/>
  </si>
  <si>
    <t>揚州大學2025</t>
    <phoneticPr fontId="1" type="noConversion"/>
  </si>
  <si>
    <t>南昌大學2025</t>
    <phoneticPr fontId="1" type="noConversion"/>
  </si>
  <si>
    <t>江西農業大學2025</t>
    <phoneticPr fontId="1" type="noConversion"/>
  </si>
  <si>
    <t>江西師範大學2025</t>
    <phoneticPr fontId="1" type="noConversion"/>
  </si>
  <si>
    <t>廈門大學2025</t>
    <phoneticPr fontId="1" type="noConversion"/>
  </si>
  <si>
    <t>福州大學2025</t>
    <phoneticPr fontId="1" type="noConversion"/>
  </si>
  <si>
    <t>福建師範大學2025</t>
    <phoneticPr fontId="1" type="noConversion"/>
  </si>
  <si>
    <t>西藏民族大學2018</t>
    <phoneticPr fontId="1" type="noConversion"/>
  </si>
  <si>
    <t>上海交通大學2025</t>
    <phoneticPr fontId="1" type="noConversion"/>
  </si>
  <si>
    <t>復旦大學2024</t>
    <phoneticPr fontId="1" type="noConversion"/>
  </si>
  <si>
    <t>同濟大學2025</t>
    <phoneticPr fontId="1" type="noConversion"/>
  </si>
  <si>
    <t>華東師範大學2024</t>
    <phoneticPr fontId="1" type="noConversion"/>
  </si>
  <si>
    <t>華東理工大學2025</t>
    <phoneticPr fontId="1" type="noConversion"/>
  </si>
  <si>
    <t>上海大學2024</t>
    <phoneticPr fontId="1" type="noConversion"/>
  </si>
  <si>
    <t>上海師範大學2025</t>
    <phoneticPr fontId="1" type="noConversion"/>
  </si>
  <si>
    <t>上海海洋大學2025</t>
    <phoneticPr fontId="1" type="noConversion"/>
  </si>
  <si>
    <t>中國科學技術大學2025</t>
    <phoneticPr fontId="1" type="noConversion"/>
  </si>
  <si>
    <t>安徽大學(只有學院)</t>
    <phoneticPr fontId="1" type="noConversion"/>
  </si>
  <si>
    <t>合肥工業大學2025</t>
    <phoneticPr fontId="1" type="noConversion"/>
  </si>
  <si>
    <t>安徽農業大學2025</t>
    <phoneticPr fontId="1" type="noConversion"/>
  </si>
  <si>
    <t>安徽師範大學2024</t>
    <phoneticPr fontId="1" type="noConversion"/>
  </si>
  <si>
    <t>中山大學2024</t>
    <phoneticPr fontId="1" type="noConversion"/>
  </si>
  <si>
    <t>華南理工大學2025</t>
    <phoneticPr fontId="1" type="noConversion"/>
  </si>
  <si>
    <t>華南農業大學2025</t>
    <phoneticPr fontId="1" type="noConversion"/>
  </si>
  <si>
    <t>廣東工業大學2025</t>
    <phoneticPr fontId="1" type="noConversion"/>
  </si>
  <si>
    <t>廣州大學2025</t>
    <phoneticPr fontId="1" type="noConversion"/>
  </si>
  <si>
    <t>深圳大學2025</t>
    <phoneticPr fontId="1" type="noConversion"/>
  </si>
  <si>
    <t>南方科技大學2023</t>
    <phoneticPr fontId="1" type="noConversion"/>
  </si>
  <si>
    <t>四川大學2025</t>
    <phoneticPr fontId="1" type="noConversion"/>
  </si>
  <si>
    <t>西南大學2023</t>
    <phoneticPr fontId="1" type="noConversion"/>
  </si>
  <si>
    <t>四川農業大學2025</t>
    <phoneticPr fontId="1" type="noConversion"/>
  </si>
  <si>
    <t>四川師範大學2025</t>
    <phoneticPr fontId="1" type="noConversion"/>
  </si>
  <si>
    <t>重慶大學2025</t>
    <phoneticPr fontId="1" type="noConversion"/>
  </si>
  <si>
    <t>重慶醫科大學2025</t>
    <phoneticPr fontId="1" type="noConversion"/>
  </si>
  <si>
    <t>重慶師範大學2025</t>
    <phoneticPr fontId="1" type="noConversion"/>
  </si>
  <si>
    <t>重慶郵電大學2025</t>
    <phoneticPr fontId="1" type="noConversion"/>
  </si>
  <si>
    <t>體重1</t>
    <phoneticPr fontId="1" type="noConversion"/>
  </si>
  <si>
    <t>西南民族大學2025</t>
    <phoneticPr fontId="1" type="noConversion"/>
  </si>
  <si>
    <t>雲南大學2025</t>
    <phoneticPr fontId="1" type="noConversion"/>
  </si>
  <si>
    <t>雲南師範大學2024</t>
    <phoneticPr fontId="1" type="noConversion"/>
  </si>
  <si>
    <t>昆明理工大學2025</t>
    <phoneticPr fontId="1" type="noConversion"/>
  </si>
  <si>
    <t>西南林業大學2024</t>
    <phoneticPr fontId="1" type="noConversion"/>
  </si>
  <si>
    <t>雲南農業大學2020</t>
    <phoneticPr fontId="1" type="noConversion"/>
  </si>
  <si>
    <t>蘭州大學2025</t>
    <phoneticPr fontId="1" type="noConversion"/>
  </si>
  <si>
    <t>西北民族大學2025</t>
    <phoneticPr fontId="1" type="noConversion"/>
  </si>
  <si>
    <t>甘肅農業大學2023</t>
    <phoneticPr fontId="1" type="noConversion"/>
  </si>
  <si>
    <t>甘肅交通大學2025</t>
    <phoneticPr fontId="1" type="noConversion"/>
  </si>
  <si>
    <t>新疆大學2024</t>
    <phoneticPr fontId="1" type="noConversion"/>
  </si>
  <si>
    <t>喀什大學2025</t>
    <phoneticPr fontId="1" type="noConversion"/>
  </si>
  <si>
    <t>新疆農業大學2025</t>
    <phoneticPr fontId="1" type="noConversion"/>
  </si>
  <si>
    <t>青海大學2021</t>
    <phoneticPr fontId="1" type="noConversion"/>
  </si>
  <si>
    <t>武漢大學2024</t>
    <phoneticPr fontId="1" type="noConversion"/>
  </si>
  <si>
    <t>華中科技大學（只有學院）</t>
    <phoneticPr fontId="1" type="noConversion"/>
  </si>
  <si>
    <t>華中農業大學2024</t>
    <phoneticPr fontId="1" type="noConversion"/>
  </si>
  <si>
    <t>華中師範大學2024</t>
    <phoneticPr fontId="1" type="noConversion"/>
  </si>
  <si>
    <t>武漢理工大學2025</t>
    <phoneticPr fontId="1" type="noConversion"/>
  </si>
  <si>
    <t>中南財經政法大學2025</t>
    <phoneticPr fontId="1" type="noConversion"/>
  </si>
  <si>
    <t>湖北大學2025</t>
    <phoneticPr fontId="1" type="noConversion"/>
  </si>
  <si>
    <t>三峽大學2025</t>
    <phoneticPr fontId="1" type="noConversion"/>
  </si>
  <si>
    <t>得分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</si>
</sst>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3"/>
  <sheetViews>
    <sheetView tabSelected="1" topLeftCell="A129" zoomScale="55" zoomScaleNormal="55" workbookViewId="0"/>
  </sheetViews>
  <sheetFormatPr defaultRowHeight="13.9" x14ac:dyDescent="0.4"/>
  <cols>
    <col min="1" max="1" width="23.86328125" customWidth="1"/>
    <col min="2" max="2" width="11.33203125" customWidth="1"/>
    <col min="3" max="3" width="12.73046875" customWidth="1"/>
    <col min="4" max="4" width="12.6640625" customWidth="1"/>
    <col min="5" max="5" width="13.33203125" customWidth="1"/>
    <col min="6" max="6" width="14.1328125" customWidth="1"/>
    <col min="7" max="7" width="18.86328125" customWidth="1"/>
    <col min="8" max="8" width="13.53125" customWidth="1"/>
    <col min="9" max="9" width="15.53125" customWidth="1"/>
    <col min="10" max="10" width="18" customWidth="1"/>
    <col min="11" max="11" width="14.06640625" customWidth="1"/>
    <col min="12" max="12" width="13.9296875" customWidth="1"/>
    <col min="13" max="13" width="15.06640625" customWidth="1"/>
    <col min="14" max="14" width="18.796875" customWidth="1"/>
    <col min="15" max="15" width="15.59765625" customWidth="1"/>
    <col min="16" max="16" width="15.265625" customWidth="1"/>
    <col min="17" max="17" width="18.06640625" customWidth="1"/>
    <col min="18" max="18" width="17.73046875" customWidth="1"/>
    <col min="20" max="20" width="14.53125" customWidth="1"/>
    <col min="23" max="23" width="17.3984375" customWidth="1"/>
  </cols>
  <sheetData>
    <row r="1" spans="1:23" ht="25.15" customHeight="1" x14ac:dyDescent="0.4"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40</v>
      </c>
      <c r="H1" t="s">
        <v>30</v>
      </c>
      <c r="I1" t="s">
        <v>31</v>
      </c>
      <c r="J1" t="s">
        <v>32</v>
      </c>
      <c r="K1" t="s">
        <v>36</v>
      </c>
      <c r="L1" t="s">
        <v>33</v>
      </c>
      <c r="M1" t="s">
        <v>34</v>
      </c>
      <c r="N1" t="s">
        <v>35</v>
      </c>
      <c r="O1" t="s">
        <v>37</v>
      </c>
      <c r="P1" t="s">
        <v>38</v>
      </c>
      <c r="Q1" t="s">
        <v>41</v>
      </c>
      <c r="R1" t="s">
        <v>46</v>
      </c>
      <c r="S1" t="s">
        <v>51</v>
      </c>
      <c r="U1" t="s">
        <v>166</v>
      </c>
    </row>
    <row r="2" spans="1:23" x14ac:dyDescent="0.4">
      <c r="A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23" x14ac:dyDescent="0.4">
      <c r="A3" t="s">
        <v>42</v>
      </c>
      <c r="B3" s="1">
        <v>1</v>
      </c>
      <c r="C3" s="1">
        <v>1</v>
      </c>
      <c r="D3" s="1">
        <v>0</v>
      </c>
      <c r="E3" s="1">
        <v>0</v>
      </c>
      <c r="F3" s="1">
        <v>0</v>
      </c>
      <c r="G3" s="1" t="s">
        <v>43</v>
      </c>
      <c r="H3" s="1">
        <v>0</v>
      </c>
      <c r="I3" s="1" t="s">
        <v>43</v>
      </c>
      <c r="J3" s="1" t="s">
        <v>43</v>
      </c>
      <c r="K3" s="1">
        <v>0</v>
      </c>
      <c r="L3" s="1">
        <v>0</v>
      </c>
      <c r="M3" s="1" t="s">
        <v>44</v>
      </c>
      <c r="N3" s="1" t="s">
        <v>44</v>
      </c>
      <c r="O3" s="1" t="s">
        <v>44</v>
      </c>
      <c r="P3" s="1">
        <v>1</v>
      </c>
      <c r="Q3" t="s">
        <v>44</v>
      </c>
      <c r="R3" s="1" t="s">
        <v>44</v>
      </c>
      <c r="S3">
        <v>0</v>
      </c>
      <c r="U3">
        <v>11</v>
      </c>
      <c r="W3" t="s">
        <v>42</v>
      </c>
    </row>
    <row r="4" spans="1:23" x14ac:dyDescent="0.4">
      <c r="A4" t="s">
        <v>47</v>
      </c>
      <c r="B4" s="1">
        <v>1</v>
      </c>
      <c r="C4" s="1" t="s">
        <v>45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 t="s">
        <v>45</v>
      </c>
      <c r="Q4">
        <v>0</v>
      </c>
      <c r="R4">
        <v>0</v>
      </c>
      <c r="S4" s="1">
        <v>0</v>
      </c>
      <c r="U4">
        <v>3</v>
      </c>
      <c r="W4" t="s">
        <v>47</v>
      </c>
    </row>
    <row r="5" spans="1:23" x14ac:dyDescent="0.4">
      <c r="A5" t="s">
        <v>48</v>
      </c>
      <c r="B5" s="1">
        <v>1</v>
      </c>
      <c r="C5" s="1">
        <v>1</v>
      </c>
      <c r="D5" s="1">
        <v>1</v>
      </c>
      <c r="E5" s="1">
        <v>1</v>
      </c>
      <c r="F5" s="1">
        <v>0</v>
      </c>
      <c r="G5" s="1">
        <v>0</v>
      </c>
      <c r="H5" s="1">
        <v>0</v>
      </c>
      <c r="I5" s="1">
        <v>1</v>
      </c>
      <c r="J5" s="1">
        <v>0</v>
      </c>
      <c r="K5" s="1">
        <v>0</v>
      </c>
      <c r="L5" s="1">
        <v>1</v>
      </c>
      <c r="M5" s="1">
        <v>1</v>
      </c>
      <c r="N5" s="1">
        <v>0</v>
      </c>
      <c r="O5" s="1">
        <v>1</v>
      </c>
      <c r="P5" s="1">
        <v>1</v>
      </c>
      <c r="Q5" s="1">
        <v>0</v>
      </c>
      <c r="R5" s="1">
        <v>0</v>
      </c>
      <c r="S5" s="1">
        <v>0</v>
      </c>
      <c r="U5">
        <f>SUM(B5:S5)</f>
        <v>9</v>
      </c>
      <c r="W5" t="s">
        <v>48</v>
      </c>
    </row>
    <row r="6" spans="1:23" x14ac:dyDescent="0.4">
      <c r="A6" t="s">
        <v>49</v>
      </c>
      <c r="B6" s="1">
        <v>1</v>
      </c>
      <c r="C6" s="1">
        <v>0</v>
      </c>
      <c r="D6" s="1">
        <v>0</v>
      </c>
      <c r="E6" s="1">
        <v>1</v>
      </c>
      <c r="F6" s="1">
        <v>0</v>
      </c>
      <c r="G6" s="1">
        <v>0</v>
      </c>
      <c r="H6" s="1">
        <v>1</v>
      </c>
      <c r="I6" s="1">
        <v>1</v>
      </c>
      <c r="J6" s="1">
        <v>0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>
        <v>1</v>
      </c>
      <c r="R6" s="1">
        <v>0</v>
      </c>
      <c r="S6" s="1">
        <v>1</v>
      </c>
      <c r="U6">
        <f>SUM(B6:S6)</f>
        <v>12</v>
      </c>
      <c r="W6" t="s">
        <v>49</v>
      </c>
    </row>
    <row r="7" spans="1:23" x14ac:dyDescent="0.4">
      <c r="A7" t="s">
        <v>50</v>
      </c>
      <c r="B7" s="1">
        <v>1</v>
      </c>
      <c r="C7" s="1">
        <v>0</v>
      </c>
      <c r="D7" s="1">
        <v>1</v>
      </c>
      <c r="E7" s="1">
        <v>1</v>
      </c>
      <c r="F7" s="1">
        <v>0</v>
      </c>
      <c r="G7" s="1">
        <v>0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0</v>
      </c>
      <c r="O7" s="1">
        <v>1</v>
      </c>
      <c r="P7" s="1">
        <v>0</v>
      </c>
      <c r="Q7" s="1">
        <v>0</v>
      </c>
      <c r="R7" s="1">
        <v>1</v>
      </c>
      <c r="S7">
        <v>1</v>
      </c>
      <c r="U7">
        <f>SUM(B7:S7)</f>
        <v>12</v>
      </c>
      <c r="W7" t="s">
        <v>50</v>
      </c>
    </row>
    <row r="8" spans="1:23" x14ac:dyDescent="0.4">
      <c r="A8" t="s">
        <v>52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1</v>
      </c>
      <c r="I8" s="1">
        <v>1</v>
      </c>
      <c r="J8" s="1">
        <v>1</v>
      </c>
      <c r="K8" s="1">
        <v>0</v>
      </c>
      <c r="L8" s="1">
        <v>1</v>
      </c>
      <c r="M8" s="1">
        <v>1</v>
      </c>
      <c r="N8" s="1">
        <v>1</v>
      </c>
      <c r="O8" s="1">
        <v>1</v>
      </c>
      <c r="P8" s="1">
        <v>0</v>
      </c>
      <c r="Q8" s="1">
        <v>0</v>
      </c>
      <c r="R8" s="1">
        <v>0</v>
      </c>
      <c r="S8" s="1">
        <v>0</v>
      </c>
      <c r="U8">
        <f>SUM(B8:S8)</f>
        <v>8</v>
      </c>
      <c r="W8" t="s">
        <v>52</v>
      </c>
    </row>
    <row r="9" spans="1:23" x14ac:dyDescent="0.4">
      <c r="A9" t="s">
        <v>53</v>
      </c>
      <c r="B9" s="1">
        <v>1</v>
      </c>
      <c r="C9" s="1">
        <v>0</v>
      </c>
      <c r="D9" s="1">
        <v>0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0</v>
      </c>
      <c r="L9" s="1">
        <v>0</v>
      </c>
      <c r="M9" s="1">
        <v>1</v>
      </c>
      <c r="N9" s="1">
        <v>1</v>
      </c>
      <c r="O9" s="1">
        <v>1</v>
      </c>
      <c r="P9" s="1">
        <v>0</v>
      </c>
      <c r="Q9" s="1">
        <v>0</v>
      </c>
      <c r="R9" s="1">
        <v>0</v>
      </c>
      <c r="S9" s="1">
        <v>0</v>
      </c>
      <c r="U9">
        <f>SUM(B9:S9)</f>
        <v>10</v>
      </c>
      <c r="W9" t="s">
        <v>53</v>
      </c>
    </row>
    <row r="10" spans="1:23" x14ac:dyDescent="0.4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U10">
        <f>SUM(B10:S10)</f>
        <v>0</v>
      </c>
    </row>
    <row r="11" spans="1:23" x14ac:dyDescent="0.4">
      <c r="A11" t="s">
        <v>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U11">
        <f>SUM(B11:S11)</f>
        <v>0</v>
      </c>
      <c r="W11" t="s">
        <v>1</v>
      </c>
    </row>
    <row r="12" spans="1:23" x14ac:dyDescent="0.4">
      <c r="A12" t="s">
        <v>54</v>
      </c>
      <c r="B12" s="1">
        <v>1</v>
      </c>
      <c r="C12" s="1">
        <v>0</v>
      </c>
      <c r="D12" s="1">
        <v>0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0</v>
      </c>
      <c r="O12" s="1">
        <v>1</v>
      </c>
      <c r="P12" s="1">
        <v>0</v>
      </c>
      <c r="Q12" s="1">
        <v>0</v>
      </c>
      <c r="R12" s="1">
        <v>1</v>
      </c>
      <c r="S12">
        <v>0</v>
      </c>
      <c r="U12">
        <f>SUM(B12:S12)</f>
        <v>12</v>
      </c>
      <c r="W12" t="s">
        <v>54</v>
      </c>
    </row>
    <row r="13" spans="1:23" x14ac:dyDescent="0.4">
      <c r="A13" t="s">
        <v>55</v>
      </c>
      <c r="B13" s="1">
        <v>1</v>
      </c>
      <c r="C13" s="1">
        <v>0</v>
      </c>
      <c r="D13" s="1">
        <v>0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0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0</v>
      </c>
      <c r="Q13" s="1">
        <v>0</v>
      </c>
      <c r="R13" s="1">
        <v>0</v>
      </c>
      <c r="S13" s="1">
        <v>0</v>
      </c>
      <c r="U13">
        <f>SUM(B13:S13)</f>
        <v>11</v>
      </c>
      <c r="W13" t="s">
        <v>55</v>
      </c>
    </row>
    <row r="14" spans="1:23" x14ac:dyDescent="0.4">
      <c r="A14" t="s">
        <v>56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0</v>
      </c>
      <c r="M14" s="1">
        <v>1</v>
      </c>
      <c r="N14" s="1">
        <v>1</v>
      </c>
      <c r="O14" s="1">
        <v>1</v>
      </c>
      <c r="P14" s="1">
        <v>0</v>
      </c>
      <c r="Q14" s="1">
        <v>0</v>
      </c>
      <c r="R14" s="1">
        <v>0</v>
      </c>
      <c r="S14" s="1">
        <v>0</v>
      </c>
      <c r="U14">
        <f>SUM(B14:S14)</f>
        <v>13</v>
      </c>
      <c r="W14" t="s">
        <v>56</v>
      </c>
    </row>
    <row r="15" spans="1:23" x14ac:dyDescent="0.4">
      <c r="A15" t="s">
        <v>57</v>
      </c>
      <c r="B15" s="1">
        <v>1</v>
      </c>
      <c r="C15" s="1">
        <v>0</v>
      </c>
      <c r="D15" s="1">
        <v>0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U15">
        <f>SUM(B15:S15)</f>
        <v>10</v>
      </c>
      <c r="W15" t="s">
        <v>57</v>
      </c>
    </row>
    <row r="16" spans="1:23" x14ac:dyDescent="0.4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U16">
        <f>SUM(B16:S16)</f>
        <v>0</v>
      </c>
    </row>
    <row r="17" spans="1:23" x14ac:dyDescent="0.4">
      <c r="A17" t="s">
        <v>2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U17">
        <f>SUM(B17:S17)</f>
        <v>0</v>
      </c>
      <c r="W17" t="s">
        <v>2</v>
      </c>
    </row>
    <row r="18" spans="1:23" x14ac:dyDescent="0.4">
      <c r="A18" t="s">
        <v>58</v>
      </c>
      <c r="B18" s="1">
        <v>1</v>
      </c>
      <c r="C18" s="1">
        <v>1</v>
      </c>
      <c r="D18" s="1">
        <v>0</v>
      </c>
      <c r="E18" s="1">
        <v>1</v>
      </c>
      <c r="F18" s="1">
        <v>1</v>
      </c>
      <c r="G18" s="1">
        <v>0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0</v>
      </c>
      <c r="Q18" s="1">
        <v>0</v>
      </c>
      <c r="R18" s="1">
        <v>0</v>
      </c>
      <c r="S18" s="1">
        <v>0</v>
      </c>
      <c r="U18">
        <f>SUM(B18:S18)</f>
        <v>12</v>
      </c>
      <c r="W18" t="s">
        <v>58</v>
      </c>
    </row>
    <row r="19" spans="1:23" x14ac:dyDescent="0.4">
      <c r="A19" t="s">
        <v>59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0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0</v>
      </c>
      <c r="O19" s="1">
        <v>1</v>
      </c>
      <c r="P19" s="1">
        <v>0</v>
      </c>
      <c r="Q19" s="1">
        <v>0</v>
      </c>
      <c r="R19" s="1">
        <v>0</v>
      </c>
      <c r="S19" s="1">
        <v>0</v>
      </c>
      <c r="U19">
        <f>SUM(B19:S19)</f>
        <v>12</v>
      </c>
      <c r="W19" t="s">
        <v>59</v>
      </c>
    </row>
    <row r="20" spans="1:23" x14ac:dyDescent="0.4">
      <c r="A20" t="s">
        <v>60</v>
      </c>
      <c r="B20" s="1">
        <v>1</v>
      </c>
      <c r="C20" s="1">
        <v>1</v>
      </c>
      <c r="D20" s="1">
        <v>0</v>
      </c>
      <c r="E20" s="1">
        <v>1</v>
      </c>
      <c r="F20" s="1">
        <v>1</v>
      </c>
      <c r="G20" s="1">
        <v>0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0</v>
      </c>
      <c r="Q20" s="1">
        <v>0</v>
      </c>
      <c r="R20" s="1">
        <v>0</v>
      </c>
      <c r="S20" s="1">
        <v>0</v>
      </c>
      <c r="U20">
        <f>SUM(B20:S20)</f>
        <v>12</v>
      </c>
      <c r="W20" t="s">
        <v>60</v>
      </c>
    </row>
    <row r="21" spans="1:23" x14ac:dyDescent="0.4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U21">
        <f>SUM(B21:S21)</f>
        <v>0</v>
      </c>
    </row>
    <row r="22" spans="1:23" x14ac:dyDescent="0.4">
      <c r="A22" t="s">
        <v>3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U22">
        <f>SUM(B22:S22)</f>
        <v>0</v>
      </c>
      <c r="W22" t="s">
        <v>3</v>
      </c>
    </row>
    <row r="23" spans="1:23" x14ac:dyDescent="0.4">
      <c r="A23" t="s">
        <v>61</v>
      </c>
      <c r="B23" s="1">
        <v>1</v>
      </c>
      <c r="C23" s="1">
        <v>1</v>
      </c>
      <c r="D23" s="1">
        <v>1</v>
      </c>
      <c r="E23" s="1">
        <v>1</v>
      </c>
      <c r="F23" s="1">
        <v>0</v>
      </c>
      <c r="G23" s="1">
        <v>0</v>
      </c>
      <c r="H23" s="1">
        <v>1</v>
      </c>
      <c r="I23" s="1">
        <v>0</v>
      </c>
      <c r="J23" s="1">
        <v>1</v>
      </c>
      <c r="K23" s="1">
        <v>0</v>
      </c>
      <c r="L23" s="1">
        <v>1</v>
      </c>
      <c r="M23" s="1">
        <v>1</v>
      </c>
      <c r="N23" s="1">
        <v>0</v>
      </c>
      <c r="O23" s="1">
        <v>1</v>
      </c>
      <c r="P23" s="1">
        <v>0</v>
      </c>
      <c r="Q23" s="1">
        <v>0</v>
      </c>
      <c r="R23" s="1">
        <v>0</v>
      </c>
      <c r="S23" s="1">
        <v>0</v>
      </c>
      <c r="U23">
        <f>SUM(B23:S23)</f>
        <v>9</v>
      </c>
      <c r="W23" t="s">
        <v>61</v>
      </c>
    </row>
    <row r="24" spans="1:23" x14ac:dyDescent="0.4">
      <c r="A24" t="s">
        <v>62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0</v>
      </c>
      <c r="Q24" s="1">
        <v>0</v>
      </c>
      <c r="R24" s="1">
        <v>0</v>
      </c>
      <c r="S24" s="1">
        <v>0</v>
      </c>
      <c r="U24">
        <f>SUM(B24:S24)</f>
        <v>14</v>
      </c>
      <c r="W24" t="s">
        <v>62</v>
      </c>
    </row>
    <row r="25" spans="1:23" x14ac:dyDescent="0.4">
      <c r="A25" t="s">
        <v>63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0</v>
      </c>
      <c r="Q25" s="1">
        <v>0</v>
      </c>
      <c r="R25" s="1">
        <v>0</v>
      </c>
      <c r="S25" s="1">
        <v>0</v>
      </c>
      <c r="U25">
        <f>SUM(B25:S25)</f>
        <v>14</v>
      </c>
      <c r="W25" t="s">
        <v>63</v>
      </c>
    </row>
    <row r="26" spans="1:23" x14ac:dyDescent="0.4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U26">
        <f>SUM(B26:S26)</f>
        <v>0</v>
      </c>
    </row>
    <row r="27" spans="1:23" x14ac:dyDescent="0.4">
      <c r="A27" t="s">
        <v>4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U27">
        <f>SUM(B27:S27)</f>
        <v>0</v>
      </c>
      <c r="W27" t="s">
        <v>4</v>
      </c>
    </row>
    <row r="28" spans="1:23" x14ac:dyDescent="0.4">
      <c r="A28" t="s">
        <v>64</v>
      </c>
      <c r="B28" s="1">
        <v>1</v>
      </c>
      <c r="C28" s="1">
        <v>1</v>
      </c>
      <c r="D28" s="1">
        <v>0</v>
      </c>
      <c r="E28" s="1">
        <v>1</v>
      </c>
      <c r="F28" s="1">
        <v>1</v>
      </c>
      <c r="G28" s="1">
        <v>0</v>
      </c>
      <c r="H28" s="1">
        <v>1</v>
      </c>
      <c r="I28" s="1">
        <v>0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0</v>
      </c>
      <c r="Q28" s="1">
        <v>0</v>
      </c>
      <c r="R28" s="1">
        <v>0</v>
      </c>
      <c r="S28" s="1">
        <v>0</v>
      </c>
      <c r="U28">
        <f>SUM(B28:S28)</f>
        <v>11</v>
      </c>
      <c r="W28" t="s">
        <v>64</v>
      </c>
    </row>
    <row r="29" spans="1:23" x14ac:dyDescent="0.4">
      <c r="A29" t="s">
        <v>65</v>
      </c>
      <c r="B29" s="1">
        <v>1</v>
      </c>
      <c r="C29" s="1">
        <v>1</v>
      </c>
      <c r="D29" s="1">
        <v>0</v>
      </c>
      <c r="E29" s="1">
        <v>1</v>
      </c>
      <c r="F29" s="1">
        <v>1</v>
      </c>
      <c r="G29" s="1">
        <v>0</v>
      </c>
      <c r="H29" s="1">
        <v>1</v>
      </c>
      <c r="I29" s="1">
        <v>1</v>
      </c>
      <c r="J29" s="1">
        <v>1</v>
      </c>
      <c r="K29" s="1">
        <v>1</v>
      </c>
      <c r="L29" s="1">
        <v>0</v>
      </c>
      <c r="M29" s="1">
        <v>1</v>
      </c>
      <c r="N29" s="1">
        <v>0</v>
      </c>
      <c r="O29" s="1">
        <v>1</v>
      </c>
      <c r="P29" s="1">
        <v>0</v>
      </c>
      <c r="Q29" s="1">
        <v>0</v>
      </c>
      <c r="R29" s="1">
        <v>0</v>
      </c>
      <c r="S29" s="1">
        <v>0</v>
      </c>
      <c r="U29">
        <f>SUM(B29:S29)</f>
        <v>10</v>
      </c>
      <c r="W29" t="s">
        <v>65</v>
      </c>
    </row>
    <row r="30" spans="1:23" x14ac:dyDescent="0.4">
      <c r="A30" t="s">
        <v>66</v>
      </c>
      <c r="B30" s="1">
        <v>1</v>
      </c>
      <c r="C30" s="1">
        <v>0</v>
      </c>
      <c r="D30" s="1">
        <v>0</v>
      </c>
      <c r="E30" s="1">
        <v>1</v>
      </c>
      <c r="F30" s="1">
        <v>0</v>
      </c>
      <c r="G30" s="1">
        <v>0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0</v>
      </c>
      <c r="O30" s="1">
        <v>1</v>
      </c>
      <c r="P30" s="1">
        <v>0</v>
      </c>
      <c r="Q30" s="1">
        <v>0</v>
      </c>
      <c r="R30" s="1">
        <v>0</v>
      </c>
      <c r="S30" s="1">
        <v>0</v>
      </c>
      <c r="U30">
        <f>SUM(B30:S30)</f>
        <v>9</v>
      </c>
      <c r="W30" t="s">
        <v>66</v>
      </c>
    </row>
    <row r="31" spans="1:23" x14ac:dyDescent="0.4">
      <c r="A31" t="s">
        <v>67</v>
      </c>
      <c r="B31" s="1">
        <v>1</v>
      </c>
      <c r="C31" s="1">
        <v>0</v>
      </c>
      <c r="D31" s="1">
        <v>1</v>
      </c>
      <c r="E31" s="1">
        <v>1</v>
      </c>
      <c r="F31" s="1">
        <v>0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1">
        <v>0</v>
      </c>
      <c r="Q31" s="1">
        <v>0</v>
      </c>
      <c r="R31" s="1">
        <v>0</v>
      </c>
      <c r="S31" s="1">
        <v>0</v>
      </c>
      <c r="U31">
        <f>SUM(B31:S31)</f>
        <v>12</v>
      </c>
      <c r="W31" t="s">
        <v>67</v>
      </c>
    </row>
    <row r="32" spans="1:23" x14ac:dyDescent="0.4">
      <c r="A32" t="s">
        <v>68</v>
      </c>
      <c r="B32" s="1">
        <v>1</v>
      </c>
      <c r="C32" s="1">
        <v>1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1</v>
      </c>
      <c r="N32" s="1">
        <v>1</v>
      </c>
      <c r="O32" s="1">
        <v>1</v>
      </c>
      <c r="P32" s="1">
        <v>0</v>
      </c>
      <c r="Q32" s="1">
        <v>0</v>
      </c>
      <c r="R32" s="1">
        <v>0</v>
      </c>
      <c r="S32" s="1">
        <v>0</v>
      </c>
      <c r="U32">
        <f>SUM(B32:S32)</f>
        <v>14</v>
      </c>
      <c r="W32" t="s">
        <v>68</v>
      </c>
    </row>
    <row r="33" spans="1:23" x14ac:dyDescent="0.4">
      <c r="U33">
        <f>SUM(B33:S33)</f>
        <v>0</v>
      </c>
    </row>
    <row r="34" spans="1:23" x14ac:dyDescent="0.4">
      <c r="A34" t="s">
        <v>5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U34">
        <f>SUM(B34:S34)</f>
        <v>0</v>
      </c>
      <c r="W34" t="s">
        <v>5</v>
      </c>
    </row>
    <row r="35" spans="1:23" x14ac:dyDescent="0.4">
      <c r="A35" t="s">
        <v>69</v>
      </c>
      <c r="B35" s="1">
        <v>1</v>
      </c>
      <c r="C35" s="1">
        <v>0</v>
      </c>
      <c r="D35" s="1">
        <v>0</v>
      </c>
      <c r="E35" s="1">
        <v>1</v>
      </c>
      <c r="F35" s="1">
        <v>0</v>
      </c>
      <c r="G35" s="1">
        <v>1</v>
      </c>
      <c r="H35" s="1">
        <v>1</v>
      </c>
      <c r="I35" s="1">
        <v>1</v>
      </c>
      <c r="J35" s="1">
        <v>0</v>
      </c>
      <c r="K35" s="1">
        <v>0</v>
      </c>
      <c r="L35" s="1">
        <v>1</v>
      </c>
      <c r="M35" s="1">
        <v>1</v>
      </c>
      <c r="N35" s="1">
        <v>0</v>
      </c>
      <c r="O35" s="1">
        <v>1</v>
      </c>
      <c r="P35" s="1">
        <v>0</v>
      </c>
      <c r="Q35" s="1">
        <v>0</v>
      </c>
      <c r="R35" s="1">
        <v>0</v>
      </c>
      <c r="S35" s="1">
        <v>0</v>
      </c>
      <c r="U35">
        <f>SUM(B35:S35)</f>
        <v>8</v>
      </c>
      <c r="W35" t="s">
        <v>69</v>
      </c>
    </row>
    <row r="36" spans="1:23" x14ac:dyDescent="0.4">
      <c r="A36" t="s">
        <v>70</v>
      </c>
      <c r="B36" s="1">
        <v>1</v>
      </c>
      <c r="C36" s="1">
        <v>1</v>
      </c>
      <c r="D36" s="1">
        <v>0</v>
      </c>
      <c r="E36" s="1">
        <v>1</v>
      </c>
      <c r="F36" s="1">
        <v>1</v>
      </c>
      <c r="G36" s="1">
        <v>0</v>
      </c>
      <c r="H36" s="1">
        <v>1</v>
      </c>
      <c r="I36" s="1">
        <v>1</v>
      </c>
      <c r="J36" s="1">
        <v>1</v>
      </c>
      <c r="K36" s="1">
        <v>1</v>
      </c>
      <c r="L36" s="1">
        <v>0</v>
      </c>
      <c r="M36" s="1">
        <v>1</v>
      </c>
      <c r="N36" s="1">
        <v>0</v>
      </c>
      <c r="O36" s="1">
        <v>1</v>
      </c>
      <c r="P36" s="1">
        <v>0</v>
      </c>
      <c r="Q36" s="1">
        <v>0</v>
      </c>
      <c r="R36" s="1">
        <v>0</v>
      </c>
      <c r="S36" s="1">
        <v>0</v>
      </c>
      <c r="U36">
        <f>SUM(B36:S36)</f>
        <v>10</v>
      </c>
      <c r="W36" t="s">
        <v>70</v>
      </c>
    </row>
    <row r="37" spans="1:23" x14ac:dyDescent="0.4">
      <c r="A37" t="s">
        <v>71</v>
      </c>
      <c r="B37" s="1">
        <v>1</v>
      </c>
      <c r="C37" s="1">
        <v>0</v>
      </c>
      <c r="D37" s="1">
        <v>0</v>
      </c>
      <c r="E37" s="1">
        <v>1</v>
      </c>
      <c r="F37" s="1">
        <v>0</v>
      </c>
      <c r="G37" s="1">
        <v>1</v>
      </c>
      <c r="H37" s="1">
        <v>1</v>
      </c>
      <c r="I37" s="1">
        <v>0</v>
      </c>
      <c r="J37" s="1">
        <v>0</v>
      </c>
      <c r="K37" s="1">
        <v>1</v>
      </c>
      <c r="L37" s="1">
        <v>1</v>
      </c>
      <c r="M37" s="1">
        <v>1</v>
      </c>
      <c r="N37" s="1">
        <v>1</v>
      </c>
      <c r="O37" s="1">
        <v>1</v>
      </c>
      <c r="P37" s="1">
        <v>0</v>
      </c>
      <c r="Q37" s="1">
        <v>0</v>
      </c>
      <c r="R37" s="1">
        <v>0</v>
      </c>
      <c r="S37" s="1">
        <v>0</v>
      </c>
      <c r="U37">
        <f>SUM(B37:S37)</f>
        <v>9</v>
      </c>
      <c r="W37" t="s">
        <v>71</v>
      </c>
    </row>
    <row r="38" spans="1:23" x14ac:dyDescent="0.4">
      <c r="A38" t="s">
        <v>72</v>
      </c>
      <c r="B38" s="1">
        <v>1</v>
      </c>
      <c r="C38" s="1">
        <v>0</v>
      </c>
      <c r="D38" s="1">
        <v>0</v>
      </c>
      <c r="E38" s="1">
        <v>1</v>
      </c>
      <c r="F38" s="1">
        <v>1</v>
      </c>
      <c r="G38" s="1">
        <v>0</v>
      </c>
      <c r="H38" s="1">
        <v>1</v>
      </c>
      <c r="I38" s="1">
        <v>0</v>
      </c>
      <c r="J38" s="1">
        <v>1</v>
      </c>
      <c r="K38" s="1">
        <v>1</v>
      </c>
      <c r="L38" s="1">
        <v>1</v>
      </c>
      <c r="M38" s="1">
        <v>1</v>
      </c>
      <c r="N38" s="1">
        <v>1</v>
      </c>
      <c r="O38" s="1">
        <v>1</v>
      </c>
      <c r="P38" s="1">
        <v>0</v>
      </c>
      <c r="Q38" s="1">
        <v>0</v>
      </c>
      <c r="R38" s="1">
        <v>0</v>
      </c>
      <c r="S38" s="1">
        <v>0</v>
      </c>
      <c r="U38">
        <f>SUM(B38:S38)</f>
        <v>10</v>
      </c>
      <c r="W38" t="s">
        <v>72</v>
      </c>
    </row>
    <row r="39" spans="1:23" x14ac:dyDescent="0.4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U39">
        <f>SUM(B39:S39)</f>
        <v>0</v>
      </c>
    </row>
    <row r="40" spans="1:23" x14ac:dyDescent="0.4">
      <c r="A40" t="s">
        <v>6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U40">
        <f>SUM(B40:S40)</f>
        <v>0</v>
      </c>
      <c r="W40" t="s">
        <v>6</v>
      </c>
    </row>
    <row r="41" spans="1:23" x14ac:dyDescent="0.4">
      <c r="A41" t="s">
        <v>73</v>
      </c>
      <c r="B41" s="1">
        <v>0</v>
      </c>
      <c r="C41" s="1">
        <v>0</v>
      </c>
      <c r="D41" s="1">
        <v>0</v>
      </c>
      <c r="E41" s="1">
        <v>1</v>
      </c>
      <c r="F41" s="1">
        <v>0</v>
      </c>
      <c r="G41" s="1">
        <v>0</v>
      </c>
      <c r="H41" s="1">
        <v>0</v>
      </c>
      <c r="I41" s="1">
        <v>1</v>
      </c>
      <c r="J41" s="1">
        <v>1</v>
      </c>
      <c r="K41" s="1">
        <v>1</v>
      </c>
      <c r="L41" s="1">
        <v>1</v>
      </c>
      <c r="M41" s="1">
        <v>1</v>
      </c>
      <c r="N41" s="1">
        <v>0</v>
      </c>
      <c r="O41" s="1">
        <v>1</v>
      </c>
      <c r="P41" s="1">
        <v>0</v>
      </c>
      <c r="Q41" s="1">
        <v>0</v>
      </c>
      <c r="R41" s="1">
        <v>1</v>
      </c>
      <c r="S41" s="1">
        <v>0</v>
      </c>
      <c r="U41">
        <f>SUM(B41:S41)</f>
        <v>8</v>
      </c>
      <c r="W41" t="s">
        <v>73</v>
      </c>
    </row>
    <row r="42" spans="1:23" x14ac:dyDescent="0.4">
      <c r="A42" t="s">
        <v>74</v>
      </c>
      <c r="B42" s="1">
        <v>1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1</v>
      </c>
      <c r="I42" s="1">
        <v>1</v>
      </c>
      <c r="J42" s="1">
        <v>1</v>
      </c>
      <c r="K42" s="1">
        <v>1</v>
      </c>
      <c r="L42" s="1">
        <v>1</v>
      </c>
      <c r="M42" s="1">
        <v>1</v>
      </c>
      <c r="N42" s="1">
        <v>0</v>
      </c>
      <c r="O42" s="1">
        <v>1</v>
      </c>
      <c r="P42" s="1">
        <v>0</v>
      </c>
      <c r="Q42" s="1">
        <v>0</v>
      </c>
      <c r="R42" s="1">
        <v>0</v>
      </c>
      <c r="S42" s="1">
        <v>0</v>
      </c>
      <c r="U42">
        <f>SUM(B42:S42)</f>
        <v>8</v>
      </c>
      <c r="W42" t="s">
        <v>74</v>
      </c>
    </row>
    <row r="43" spans="1:23" x14ac:dyDescent="0.4">
      <c r="A43" t="s">
        <v>75</v>
      </c>
      <c r="B43" s="1">
        <v>0</v>
      </c>
      <c r="C43" s="1">
        <v>1</v>
      </c>
      <c r="D43" s="1">
        <v>0</v>
      </c>
      <c r="E43" s="1">
        <v>1</v>
      </c>
      <c r="F43" s="1">
        <v>0</v>
      </c>
      <c r="G43" s="1">
        <v>0</v>
      </c>
      <c r="H43" s="1">
        <v>1</v>
      </c>
      <c r="I43" s="1">
        <v>1</v>
      </c>
      <c r="J43" s="1">
        <v>1</v>
      </c>
      <c r="K43" s="1">
        <v>1</v>
      </c>
      <c r="L43" s="1">
        <v>1</v>
      </c>
      <c r="M43" s="1">
        <v>1</v>
      </c>
      <c r="N43" s="1">
        <v>0</v>
      </c>
      <c r="O43" s="1">
        <v>1</v>
      </c>
      <c r="P43" s="1">
        <v>0</v>
      </c>
      <c r="Q43" s="1">
        <v>1</v>
      </c>
      <c r="R43" s="1">
        <v>0</v>
      </c>
      <c r="S43" s="1">
        <v>0</v>
      </c>
      <c r="U43">
        <f>SUM(B43:S43)</f>
        <v>10</v>
      </c>
      <c r="W43" t="s">
        <v>75</v>
      </c>
    </row>
    <row r="44" spans="1:23" x14ac:dyDescent="0.4">
      <c r="A44" t="s">
        <v>76</v>
      </c>
      <c r="B44" s="1">
        <v>1</v>
      </c>
      <c r="C44" s="1">
        <v>0</v>
      </c>
      <c r="D44" s="1">
        <v>0</v>
      </c>
      <c r="E44" s="1">
        <v>1</v>
      </c>
      <c r="F44" s="1">
        <v>0</v>
      </c>
      <c r="G44" s="1">
        <v>0</v>
      </c>
      <c r="H44" s="1">
        <v>1</v>
      </c>
      <c r="I44" s="1">
        <v>0</v>
      </c>
      <c r="J44" s="1">
        <v>0</v>
      </c>
      <c r="K44" s="1">
        <v>1</v>
      </c>
      <c r="L44" s="1">
        <v>1</v>
      </c>
      <c r="M44" s="1">
        <v>1</v>
      </c>
      <c r="N44" s="1">
        <v>1</v>
      </c>
      <c r="O44" s="1">
        <v>1</v>
      </c>
      <c r="P44" s="1">
        <v>0</v>
      </c>
      <c r="Q44" s="1">
        <v>0</v>
      </c>
      <c r="R44" s="1">
        <v>0</v>
      </c>
      <c r="S44" s="1">
        <v>0</v>
      </c>
      <c r="U44">
        <f>SUM(B44:S44)</f>
        <v>8</v>
      </c>
      <c r="W44" t="s">
        <v>76</v>
      </c>
    </row>
    <row r="45" spans="1:23" x14ac:dyDescent="0.4">
      <c r="A45" t="s">
        <v>77</v>
      </c>
      <c r="B45" s="1">
        <v>1</v>
      </c>
      <c r="C45" s="1">
        <v>0</v>
      </c>
      <c r="D45" s="1">
        <v>0</v>
      </c>
      <c r="E45" s="1">
        <v>1</v>
      </c>
      <c r="F45" s="1">
        <v>0</v>
      </c>
      <c r="G45" s="1">
        <v>0</v>
      </c>
      <c r="H45" s="1">
        <v>1</v>
      </c>
      <c r="I45" s="1">
        <v>1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1</v>
      </c>
      <c r="Q45" s="1">
        <v>0</v>
      </c>
      <c r="R45" s="1">
        <v>0</v>
      </c>
      <c r="S45" s="1">
        <v>0</v>
      </c>
      <c r="U45">
        <f>SUM(B45:S45)</f>
        <v>5</v>
      </c>
      <c r="W45" t="s">
        <v>77</v>
      </c>
    </row>
    <row r="46" spans="1:23" x14ac:dyDescent="0.4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U46">
        <f>SUM(B46:S46)</f>
        <v>0</v>
      </c>
    </row>
    <row r="47" spans="1:23" x14ac:dyDescent="0.4">
      <c r="A47" t="s">
        <v>7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U47">
        <f>SUM(B47:S47)</f>
        <v>0</v>
      </c>
      <c r="W47" t="s">
        <v>7</v>
      </c>
    </row>
    <row r="48" spans="1:23" x14ac:dyDescent="0.4">
      <c r="A48" t="s">
        <v>78</v>
      </c>
      <c r="B48" s="1">
        <v>1</v>
      </c>
      <c r="C48" s="1">
        <v>0</v>
      </c>
      <c r="D48" s="1">
        <v>0</v>
      </c>
      <c r="E48" s="1">
        <v>1</v>
      </c>
      <c r="F48" s="1">
        <v>1</v>
      </c>
      <c r="G48" s="1">
        <v>0</v>
      </c>
      <c r="H48" s="1">
        <v>1</v>
      </c>
      <c r="I48" s="1">
        <v>1</v>
      </c>
      <c r="J48" s="1">
        <v>1</v>
      </c>
      <c r="K48" s="1">
        <v>1</v>
      </c>
      <c r="L48" s="1">
        <v>1</v>
      </c>
      <c r="M48" s="1">
        <v>1</v>
      </c>
      <c r="N48" s="1">
        <v>0</v>
      </c>
      <c r="O48" s="1">
        <v>1</v>
      </c>
      <c r="P48" s="1">
        <v>0</v>
      </c>
      <c r="Q48" s="1">
        <v>0</v>
      </c>
      <c r="R48" s="1">
        <v>0</v>
      </c>
      <c r="S48" s="1">
        <v>0</v>
      </c>
      <c r="U48">
        <f>SUM(B48:S48)</f>
        <v>10</v>
      </c>
      <c r="W48" t="s">
        <v>78</v>
      </c>
    </row>
    <row r="49" spans="1:23" x14ac:dyDescent="0.4">
      <c r="A49" t="s">
        <v>79</v>
      </c>
      <c r="B49" s="1">
        <v>1</v>
      </c>
      <c r="C49" s="1">
        <v>1</v>
      </c>
      <c r="D49" s="1">
        <v>1</v>
      </c>
      <c r="E49" s="1">
        <v>1</v>
      </c>
      <c r="F49" s="1">
        <v>1</v>
      </c>
      <c r="G49" s="1">
        <v>0</v>
      </c>
      <c r="H49" s="1">
        <v>1</v>
      </c>
      <c r="I49" s="1">
        <v>1</v>
      </c>
      <c r="J49" s="1">
        <v>1</v>
      </c>
      <c r="K49" s="1">
        <v>1</v>
      </c>
      <c r="L49" s="1">
        <v>1</v>
      </c>
      <c r="M49" s="1">
        <v>1</v>
      </c>
      <c r="N49" s="1">
        <v>1</v>
      </c>
      <c r="O49" s="1">
        <v>1</v>
      </c>
      <c r="P49" s="1">
        <v>1</v>
      </c>
      <c r="Q49" s="1">
        <v>0</v>
      </c>
      <c r="R49" s="1">
        <v>0</v>
      </c>
      <c r="S49" s="1">
        <v>0</v>
      </c>
      <c r="U49">
        <f>SUM(B49:S49)</f>
        <v>14</v>
      </c>
      <c r="W49" t="s">
        <v>79</v>
      </c>
    </row>
    <row r="50" spans="1:23" x14ac:dyDescent="0.4">
      <c r="A50" t="s">
        <v>80</v>
      </c>
      <c r="B50" s="1">
        <v>1</v>
      </c>
      <c r="C50" s="1">
        <v>0</v>
      </c>
      <c r="D50" s="1">
        <v>0</v>
      </c>
      <c r="E50" s="1">
        <v>1</v>
      </c>
      <c r="F50" s="1">
        <v>1</v>
      </c>
      <c r="G50" s="1">
        <v>0</v>
      </c>
      <c r="H50" s="1">
        <v>1</v>
      </c>
      <c r="I50" s="1">
        <v>0</v>
      </c>
      <c r="J50" s="1">
        <v>1</v>
      </c>
      <c r="K50" s="1">
        <v>1</v>
      </c>
      <c r="L50" s="1">
        <v>1</v>
      </c>
      <c r="M50" s="1">
        <v>1</v>
      </c>
      <c r="N50" s="1">
        <v>0</v>
      </c>
      <c r="O50" s="1">
        <v>1</v>
      </c>
      <c r="P50" s="1">
        <v>0</v>
      </c>
      <c r="Q50" s="1">
        <v>0</v>
      </c>
      <c r="R50" s="1">
        <v>0</v>
      </c>
      <c r="S50" s="1">
        <v>0</v>
      </c>
      <c r="U50">
        <f>SUM(B50:S50)</f>
        <v>9</v>
      </c>
      <c r="W50" t="s">
        <v>80</v>
      </c>
    </row>
    <row r="51" spans="1:23" x14ac:dyDescent="0.4">
      <c r="A51" t="s">
        <v>81</v>
      </c>
      <c r="B51" s="1">
        <v>1</v>
      </c>
      <c r="C51" s="1">
        <v>0</v>
      </c>
      <c r="D51" s="1">
        <v>1</v>
      </c>
      <c r="E51" s="1">
        <v>1</v>
      </c>
      <c r="F51" s="1">
        <v>0</v>
      </c>
      <c r="G51" s="1">
        <v>0</v>
      </c>
      <c r="H51" s="1">
        <v>1</v>
      </c>
      <c r="I51" s="1">
        <v>0</v>
      </c>
      <c r="J51" s="1">
        <v>1</v>
      </c>
      <c r="K51" s="1">
        <v>1</v>
      </c>
      <c r="L51" s="1">
        <v>1</v>
      </c>
      <c r="M51" s="1">
        <v>0</v>
      </c>
      <c r="N51" s="1">
        <v>0</v>
      </c>
      <c r="O51" s="1">
        <v>1</v>
      </c>
      <c r="P51" s="1">
        <v>0</v>
      </c>
      <c r="Q51" s="1">
        <v>0</v>
      </c>
      <c r="R51" s="1">
        <v>0</v>
      </c>
      <c r="S51" s="1">
        <v>1</v>
      </c>
      <c r="U51">
        <f>SUM(B51:S51)</f>
        <v>9</v>
      </c>
      <c r="W51" t="s">
        <v>81</v>
      </c>
    </row>
    <row r="52" spans="1:23" x14ac:dyDescent="0.4">
      <c r="A52" t="s">
        <v>82</v>
      </c>
      <c r="B52" s="1">
        <v>1</v>
      </c>
      <c r="C52" s="1">
        <v>0</v>
      </c>
      <c r="D52" s="1">
        <v>0</v>
      </c>
      <c r="E52" s="1">
        <v>1</v>
      </c>
      <c r="F52" s="1">
        <v>0</v>
      </c>
      <c r="G52" s="1">
        <v>0</v>
      </c>
      <c r="H52" s="1">
        <v>1</v>
      </c>
      <c r="I52" s="1">
        <v>1</v>
      </c>
      <c r="J52" s="1">
        <v>1</v>
      </c>
      <c r="K52" s="1">
        <v>1</v>
      </c>
      <c r="L52" s="1">
        <v>1</v>
      </c>
      <c r="M52" s="1">
        <v>1</v>
      </c>
      <c r="N52" s="1">
        <v>1</v>
      </c>
      <c r="O52" s="1">
        <v>1</v>
      </c>
      <c r="P52" s="1">
        <v>0</v>
      </c>
      <c r="Q52" s="1">
        <v>0</v>
      </c>
      <c r="R52" s="1">
        <v>0</v>
      </c>
      <c r="S52" s="1">
        <v>0</v>
      </c>
      <c r="U52">
        <f>SUM(B52:S52)</f>
        <v>10</v>
      </c>
      <c r="W52" t="s">
        <v>82</v>
      </c>
    </row>
    <row r="53" spans="1:23" x14ac:dyDescent="0.4">
      <c r="A53" t="s">
        <v>83</v>
      </c>
      <c r="B53" s="1">
        <v>1</v>
      </c>
      <c r="C53" s="1">
        <v>0</v>
      </c>
      <c r="D53" s="1">
        <v>0</v>
      </c>
      <c r="E53" s="1">
        <v>1</v>
      </c>
      <c r="F53" s="1">
        <v>1</v>
      </c>
      <c r="G53" s="1">
        <v>0</v>
      </c>
      <c r="H53" s="1">
        <v>1</v>
      </c>
      <c r="I53" s="1">
        <v>1</v>
      </c>
      <c r="J53" s="1">
        <v>1</v>
      </c>
      <c r="K53" s="1">
        <v>1</v>
      </c>
      <c r="L53" s="1">
        <v>0</v>
      </c>
      <c r="M53" s="1">
        <v>1</v>
      </c>
      <c r="N53" s="1">
        <v>0</v>
      </c>
      <c r="O53" s="1">
        <v>1</v>
      </c>
      <c r="P53" s="1">
        <v>0</v>
      </c>
      <c r="Q53" s="1">
        <v>0</v>
      </c>
      <c r="R53" s="1">
        <v>0</v>
      </c>
      <c r="S53" s="1">
        <v>0</v>
      </c>
      <c r="U53">
        <f>SUM(B53:S53)</f>
        <v>9</v>
      </c>
      <c r="W53" t="s">
        <v>83</v>
      </c>
    </row>
    <row r="54" spans="1:23" x14ac:dyDescent="0.4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U54">
        <f>SUM(B54:S54)</f>
        <v>0</v>
      </c>
    </row>
    <row r="55" spans="1:23" x14ac:dyDescent="0.4">
      <c r="A55" t="s">
        <v>8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U55">
        <f>SUM(B55:S55)</f>
        <v>0</v>
      </c>
      <c r="W55" t="s">
        <v>8</v>
      </c>
    </row>
    <row r="56" spans="1:23" x14ac:dyDescent="0.4">
      <c r="A56" t="s">
        <v>84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1</v>
      </c>
      <c r="I56" s="1">
        <v>1</v>
      </c>
      <c r="J56" s="1">
        <v>1</v>
      </c>
      <c r="K56" s="1">
        <v>1</v>
      </c>
      <c r="L56" s="1">
        <v>1</v>
      </c>
      <c r="M56" s="1">
        <v>1</v>
      </c>
      <c r="N56" s="1">
        <v>1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U56">
        <f>SUM(B56:S56)</f>
        <v>7</v>
      </c>
      <c r="W56" t="s">
        <v>84</v>
      </c>
    </row>
    <row r="57" spans="1:23" x14ac:dyDescent="0.4">
      <c r="A57" t="s">
        <v>85</v>
      </c>
      <c r="B57" s="1">
        <v>1</v>
      </c>
      <c r="C57" s="1">
        <v>1</v>
      </c>
      <c r="D57" s="1">
        <v>0</v>
      </c>
      <c r="E57" s="1">
        <v>1</v>
      </c>
      <c r="F57" s="1">
        <v>1</v>
      </c>
      <c r="G57" s="1">
        <v>0</v>
      </c>
      <c r="H57" s="1">
        <v>1</v>
      </c>
      <c r="I57" s="1">
        <v>1</v>
      </c>
      <c r="J57" s="1">
        <v>1</v>
      </c>
      <c r="K57" s="1">
        <v>1</v>
      </c>
      <c r="L57" s="1">
        <v>0</v>
      </c>
      <c r="M57" s="1">
        <v>1</v>
      </c>
      <c r="N57" s="1">
        <v>0</v>
      </c>
      <c r="O57" s="1">
        <v>1</v>
      </c>
      <c r="P57" s="1">
        <v>0</v>
      </c>
      <c r="Q57" s="1">
        <v>1</v>
      </c>
      <c r="R57" s="1">
        <v>0</v>
      </c>
      <c r="S57" s="1">
        <v>0</v>
      </c>
      <c r="U57">
        <f>SUM(B57:S57)</f>
        <v>11</v>
      </c>
      <c r="W57" t="s">
        <v>85</v>
      </c>
    </row>
    <row r="58" spans="1:23" x14ac:dyDescent="0.4">
      <c r="A58" t="s">
        <v>86</v>
      </c>
      <c r="B58" s="1">
        <v>1</v>
      </c>
      <c r="C58" s="1">
        <v>0</v>
      </c>
      <c r="D58" s="1">
        <v>0</v>
      </c>
      <c r="E58" s="1">
        <v>1</v>
      </c>
      <c r="F58" s="1">
        <v>1</v>
      </c>
      <c r="G58" s="1">
        <v>0</v>
      </c>
      <c r="H58" s="1">
        <v>1</v>
      </c>
      <c r="I58" s="1">
        <v>1</v>
      </c>
      <c r="J58" s="1">
        <v>1</v>
      </c>
      <c r="K58" s="1">
        <v>1</v>
      </c>
      <c r="L58" s="1">
        <v>1</v>
      </c>
      <c r="M58" s="1">
        <v>1</v>
      </c>
      <c r="N58" s="1">
        <v>1</v>
      </c>
      <c r="O58" s="1">
        <v>1</v>
      </c>
      <c r="P58" s="1">
        <v>0</v>
      </c>
      <c r="Q58" s="1">
        <v>0</v>
      </c>
      <c r="R58" s="1">
        <v>0</v>
      </c>
      <c r="S58" s="1">
        <v>0</v>
      </c>
      <c r="U58">
        <f>SUM(B58:S58)</f>
        <v>11</v>
      </c>
      <c r="W58" t="s">
        <v>86</v>
      </c>
    </row>
    <row r="59" spans="1:23" x14ac:dyDescent="0.4">
      <c r="A59" t="s">
        <v>87</v>
      </c>
      <c r="B59" s="1">
        <v>1</v>
      </c>
      <c r="C59" s="1">
        <v>0</v>
      </c>
      <c r="D59" s="1">
        <v>0</v>
      </c>
      <c r="E59" s="1">
        <v>1</v>
      </c>
      <c r="F59" s="1">
        <v>1</v>
      </c>
      <c r="G59" s="1">
        <v>0</v>
      </c>
      <c r="H59" s="1">
        <v>0</v>
      </c>
      <c r="I59" s="1">
        <v>1</v>
      </c>
      <c r="J59" s="1">
        <v>1</v>
      </c>
      <c r="K59" s="1">
        <v>1</v>
      </c>
      <c r="L59" s="1">
        <v>1</v>
      </c>
      <c r="M59" s="1">
        <v>1</v>
      </c>
      <c r="N59" s="1">
        <v>0</v>
      </c>
      <c r="O59" s="1">
        <v>1</v>
      </c>
      <c r="P59" s="1">
        <v>0</v>
      </c>
      <c r="Q59" s="1">
        <v>0</v>
      </c>
      <c r="R59" s="1">
        <v>1</v>
      </c>
      <c r="S59" s="1">
        <v>0</v>
      </c>
      <c r="U59">
        <f>SUM(B59:S59)</f>
        <v>10</v>
      </c>
      <c r="W59" t="s">
        <v>87</v>
      </c>
    </row>
    <row r="60" spans="1:23" x14ac:dyDescent="0.4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U60">
        <f>SUM(B60:S60)</f>
        <v>0</v>
      </c>
    </row>
    <row r="61" spans="1:23" x14ac:dyDescent="0.4">
      <c r="A61" t="s">
        <v>9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U61">
        <f>SUM(B61:S61)</f>
        <v>0</v>
      </c>
      <c r="W61" t="s">
        <v>9</v>
      </c>
    </row>
    <row r="62" spans="1:23" x14ac:dyDescent="0.4">
      <c r="A62" t="s">
        <v>89</v>
      </c>
      <c r="B62" s="1">
        <v>1</v>
      </c>
      <c r="C62" s="1">
        <v>0</v>
      </c>
      <c r="D62" s="1">
        <v>0</v>
      </c>
      <c r="E62" s="1">
        <v>1</v>
      </c>
      <c r="F62" s="1">
        <v>1</v>
      </c>
      <c r="G62" s="1">
        <v>0</v>
      </c>
      <c r="H62" s="1">
        <v>1</v>
      </c>
      <c r="I62" s="1">
        <v>1</v>
      </c>
      <c r="J62" s="1">
        <v>1</v>
      </c>
      <c r="K62" s="1">
        <v>1</v>
      </c>
      <c r="L62" s="1">
        <v>1</v>
      </c>
      <c r="M62" s="1">
        <v>1</v>
      </c>
      <c r="N62" s="1">
        <v>1</v>
      </c>
      <c r="O62" s="1">
        <v>1</v>
      </c>
      <c r="P62" s="1">
        <v>1</v>
      </c>
      <c r="Q62" s="1">
        <v>0</v>
      </c>
      <c r="R62" s="1">
        <v>0</v>
      </c>
      <c r="S62" s="1">
        <v>0</v>
      </c>
      <c r="U62">
        <f>SUM(B62:S62)</f>
        <v>12</v>
      </c>
      <c r="W62" t="s">
        <v>89</v>
      </c>
    </row>
    <row r="63" spans="1:23" x14ac:dyDescent="0.4">
      <c r="A63" t="s">
        <v>88</v>
      </c>
      <c r="B63" s="1">
        <v>1</v>
      </c>
      <c r="C63" s="1">
        <v>1</v>
      </c>
      <c r="D63" s="1">
        <v>0</v>
      </c>
      <c r="E63" s="1">
        <v>1</v>
      </c>
      <c r="F63" s="1">
        <v>1</v>
      </c>
      <c r="G63" s="1">
        <v>0</v>
      </c>
      <c r="H63" s="1">
        <v>1</v>
      </c>
      <c r="I63" s="1">
        <v>1</v>
      </c>
      <c r="J63" s="1">
        <v>1</v>
      </c>
      <c r="K63" s="1">
        <v>1</v>
      </c>
      <c r="L63" s="1">
        <v>1</v>
      </c>
      <c r="M63" s="1">
        <v>1</v>
      </c>
      <c r="N63" s="1">
        <v>0</v>
      </c>
      <c r="O63" s="1">
        <v>1</v>
      </c>
      <c r="P63" s="1">
        <v>0</v>
      </c>
      <c r="Q63" s="1">
        <v>0</v>
      </c>
      <c r="R63" s="1">
        <v>0</v>
      </c>
      <c r="S63" s="1">
        <v>0</v>
      </c>
      <c r="U63">
        <f>SUM(B63:S63)</f>
        <v>11</v>
      </c>
      <c r="W63" t="s">
        <v>88</v>
      </c>
    </row>
    <row r="64" spans="1:23" x14ac:dyDescent="0.4">
      <c r="A64" t="s">
        <v>90</v>
      </c>
      <c r="B64" s="1">
        <v>1</v>
      </c>
      <c r="C64" s="1">
        <v>1</v>
      </c>
      <c r="D64" s="1">
        <v>0</v>
      </c>
      <c r="E64" s="1">
        <v>1</v>
      </c>
      <c r="F64" s="1">
        <v>1</v>
      </c>
      <c r="G64" s="1">
        <v>0</v>
      </c>
      <c r="H64" s="1">
        <v>1</v>
      </c>
      <c r="I64" s="1">
        <v>1</v>
      </c>
      <c r="J64" s="1">
        <v>1</v>
      </c>
      <c r="K64" s="1">
        <v>1</v>
      </c>
      <c r="L64" s="1">
        <v>1</v>
      </c>
      <c r="M64" s="1">
        <v>1</v>
      </c>
      <c r="N64" s="1">
        <v>0</v>
      </c>
      <c r="O64" s="1">
        <v>1</v>
      </c>
      <c r="P64" s="1">
        <v>1</v>
      </c>
      <c r="Q64" s="1">
        <v>0</v>
      </c>
      <c r="R64" s="1">
        <v>1</v>
      </c>
      <c r="S64" s="1">
        <v>0</v>
      </c>
      <c r="U64">
        <f>SUM(B64:S64)</f>
        <v>13</v>
      </c>
      <c r="W64" t="s">
        <v>90</v>
      </c>
    </row>
    <row r="65" spans="1:23" x14ac:dyDescent="0.4">
      <c r="A65" t="s">
        <v>91</v>
      </c>
      <c r="B65" s="1">
        <v>1</v>
      </c>
      <c r="C65" s="1">
        <v>1</v>
      </c>
      <c r="D65" s="1">
        <v>0</v>
      </c>
      <c r="E65" s="1">
        <v>1</v>
      </c>
      <c r="F65" s="1">
        <v>1</v>
      </c>
      <c r="G65" s="1">
        <v>0</v>
      </c>
      <c r="H65" s="1">
        <v>1</v>
      </c>
      <c r="I65" s="1">
        <v>1</v>
      </c>
      <c r="J65" s="1">
        <v>1</v>
      </c>
      <c r="K65" s="1">
        <v>0</v>
      </c>
      <c r="L65" s="1">
        <v>0</v>
      </c>
      <c r="M65" s="1">
        <v>1</v>
      </c>
      <c r="N65" s="1">
        <v>1</v>
      </c>
      <c r="O65" s="1">
        <v>1</v>
      </c>
      <c r="P65" s="1">
        <v>1</v>
      </c>
      <c r="Q65" s="1">
        <v>0</v>
      </c>
      <c r="R65" s="1">
        <v>0</v>
      </c>
      <c r="S65" s="1">
        <v>0</v>
      </c>
      <c r="U65">
        <f>SUM(B65:S65)</f>
        <v>11</v>
      </c>
      <c r="W65" t="s">
        <v>91</v>
      </c>
    </row>
    <row r="66" spans="1:23" x14ac:dyDescent="0.4">
      <c r="A66" t="s">
        <v>92</v>
      </c>
      <c r="B66" s="1">
        <v>1</v>
      </c>
      <c r="C66" s="1">
        <v>0</v>
      </c>
      <c r="D66" s="1">
        <v>0</v>
      </c>
      <c r="E66" s="1">
        <v>1</v>
      </c>
      <c r="F66" s="1">
        <v>1</v>
      </c>
      <c r="G66" s="1">
        <v>0</v>
      </c>
      <c r="H66" s="1">
        <v>1</v>
      </c>
      <c r="I66" s="1">
        <v>0</v>
      </c>
      <c r="J66" s="1">
        <v>1</v>
      </c>
      <c r="K66" s="1">
        <v>1</v>
      </c>
      <c r="L66" s="1">
        <v>0</v>
      </c>
      <c r="M66" s="1">
        <v>1</v>
      </c>
      <c r="N66" s="1">
        <v>0</v>
      </c>
      <c r="O66" s="1">
        <v>1</v>
      </c>
      <c r="P66" s="1">
        <v>0</v>
      </c>
      <c r="Q66" s="1">
        <v>0</v>
      </c>
      <c r="R66" s="1">
        <v>0</v>
      </c>
      <c r="S66" s="1">
        <v>0</v>
      </c>
      <c r="U66">
        <f>SUM(B66:S66)</f>
        <v>8</v>
      </c>
      <c r="W66" t="s">
        <v>92</v>
      </c>
    </row>
    <row r="67" spans="1:23" x14ac:dyDescent="0.4">
      <c r="A67" t="s">
        <v>93</v>
      </c>
      <c r="B67" s="1">
        <v>1</v>
      </c>
      <c r="C67" s="1">
        <v>0</v>
      </c>
      <c r="D67" s="1">
        <v>0</v>
      </c>
      <c r="E67" s="1">
        <v>1</v>
      </c>
      <c r="F67" s="1">
        <v>1</v>
      </c>
      <c r="G67" s="1">
        <v>0</v>
      </c>
      <c r="H67" s="1">
        <v>0</v>
      </c>
      <c r="I67" s="1">
        <v>0</v>
      </c>
      <c r="J67" s="1">
        <v>1</v>
      </c>
      <c r="K67" s="1">
        <v>0</v>
      </c>
      <c r="L67" s="1">
        <v>1</v>
      </c>
      <c r="M67" s="1">
        <v>1</v>
      </c>
      <c r="N67" s="1">
        <v>0</v>
      </c>
      <c r="O67" s="1">
        <v>1</v>
      </c>
      <c r="P67" s="1">
        <v>1</v>
      </c>
      <c r="Q67" s="1">
        <v>0</v>
      </c>
      <c r="R67" s="1">
        <v>0</v>
      </c>
      <c r="S67" s="1">
        <v>0</v>
      </c>
      <c r="U67">
        <f>SUM(B67:S67)</f>
        <v>8</v>
      </c>
      <c r="W67" t="s">
        <v>93</v>
      </c>
    </row>
    <row r="68" spans="1:23" x14ac:dyDescent="0.4">
      <c r="T68" s="2" t="s">
        <v>98</v>
      </c>
      <c r="U68">
        <f>SUM(B68:S68)</f>
        <v>0</v>
      </c>
    </row>
    <row r="69" spans="1:23" x14ac:dyDescent="0.4">
      <c r="A69" t="s">
        <v>10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U69">
        <f>SUM(B69:S69)</f>
        <v>0</v>
      </c>
      <c r="W69" t="s">
        <v>10</v>
      </c>
    </row>
    <row r="70" spans="1:23" x14ac:dyDescent="0.4">
      <c r="A70" t="s">
        <v>94</v>
      </c>
      <c r="B70" s="1">
        <v>1</v>
      </c>
      <c r="C70" s="1">
        <v>1</v>
      </c>
      <c r="D70" s="1">
        <v>0</v>
      </c>
      <c r="E70" s="1">
        <v>1</v>
      </c>
      <c r="F70" s="1">
        <v>1</v>
      </c>
      <c r="G70" s="1">
        <v>0</v>
      </c>
      <c r="H70" s="1">
        <v>1</v>
      </c>
      <c r="I70" s="1">
        <v>1</v>
      </c>
      <c r="J70" s="1">
        <v>1</v>
      </c>
      <c r="K70" s="1">
        <v>1</v>
      </c>
      <c r="L70" s="1">
        <v>1</v>
      </c>
      <c r="M70" s="1">
        <v>1</v>
      </c>
      <c r="N70" s="1">
        <v>1</v>
      </c>
      <c r="O70" s="1">
        <v>1</v>
      </c>
      <c r="P70" s="1">
        <v>0</v>
      </c>
      <c r="Q70" s="1">
        <v>0</v>
      </c>
      <c r="R70" s="1">
        <v>1</v>
      </c>
      <c r="S70" s="1">
        <v>0</v>
      </c>
      <c r="U70">
        <f>SUM(B70:S70)</f>
        <v>13</v>
      </c>
      <c r="W70" t="s">
        <v>94</v>
      </c>
    </row>
    <row r="71" spans="1:23" x14ac:dyDescent="0.4">
      <c r="A71" t="s">
        <v>95</v>
      </c>
      <c r="B71" s="1">
        <v>1</v>
      </c>
      <c r="C71" s="1">
        <v>1</v>
      </c>
      <c r="D71" s="1">
        <v>1</v>
      </c>
      <c r="E71" s="1">
        <v>1</v>
      </c>
      <c r="F71" s="1">
        <v>1</v>
      </c>
      <c r="G71" s="1">
        <v>0</v>
      </c>
      <c r="H71" s="1">
        <v>1</v>
      </c>
      <c r="I71" s="1">
        <v>1</v>
      </c>
      <c r="J71" s="1">
        <v>1</v>
      </c>
      <c r="K71" s="1">
        <v>0</v>
      </c>
      <c r="L71" s="1">
        <v>1</v>
      </c>
      <c r="M71" s="1">
        <v>1</v>
      </c>
      <c r="N71" s="1">
        <v>1</v>
      </c>
      <c r="O71" s="1">
        <v>1</v>
      </c>
      <c r="P71" s="1">
        <v>0</v>
      </c>
      <c r="Q71" s="1">
        <v>1</v>
      </c>
      <c r="R71" s="1">
        <v>1</v>
      </c>
      <c r="S71" s="1">
        <v>0</v>
      </c>
      <c r="U71">
        <f>SUM(B71:S71)</f>
        <v>14</v>
      </c>
      <c r="W71" t="s">
        <v>95</v>
      </c>
    </row>
    <row r="72" spans="1:23" x14ac:dyDescent="0.4">
      <c r="A72" t="s">
        <v>96</v>
      </c>
      <c r="B72" s="1">
        <v>1</v>
      </c>
      <c r="C72" s="1">
        <v>1</v>
      </c>
      <c r="D72" s="1">
        <v>0</v>
      </c>
      <c r="E72" s="1">
        <v>1</v>
      </c>
      <c r="F72" s="1">
        <v>0</v>
      </c>
      <c r="G72" s="1">
        <v>0</v>
      </c>
      <c r="H72" s="1">
        <v>1</v>
      </c>
      <c r="I72" s="1">
        <v>1</v>
      </c>
      <c r="J72" s="1">
        <v>1</v>
      </c>
      <c r="K72" s="1">
        <v>0</v>
      </c>
      <c r="L72" s="1">
        <v>1</v>
      </c>
      <c r="M72" s="1">
        <v>1</v>
      </c>
      <c r="N72" s="1">
        <v>1</v>
      </c>
      <c r="O72" s="1">
        <v>1</v>
      </c>
      <c r="P72" s="1">
        <v>0</v>
      </c>
      <c r="Q72" s="1">
        <v>0</v>
      </c>
      <c r="R72" s="1">
        <v>1</v>
      </c>
      <c r="S72" s="1">
        <v>0</v>
      </c>
      <c r="U72">
        <f>SUM(B72:S72)</f>
        <v>11</v>
      </c>
      <c r="W72" t="s">
        <v>96</v>
      </c>
    </row>
    <row r="73" spans="1:23" x14ac:dyDescent="0.4">
      <c r="A73" t="s">
        <v>97</v>
      </c>
      <c r="B73" s="1">
        <v>1</v>
      </c>
      <c r="C73" s="1">
        <v>0</v>
      </c>
      <c r="D73" s="1">
        <v>0</v>
      </c>
      <c r="E73" s="1">
        <v>1</v>
      </c>
      <c r="F73" s="1">
        <v>1</v>
      </c>
      <c r="G73" s="1">
        <v>0</v>
      </c>
      <c r="H73" s="1">
        <v>1</v>
      </c>
      <c r="I73" s="1">
        <v>0</v>
      </c>
      <c r="J73" s="1">
        <v>1</v>
      </c>
      <c r="K73" s="1">
        <v>1</v>
      </c>
      <c r="L73" s="1">
        <v>1</v>
      </c>
      <c r="M73" s="1">
        <v>1</v>
      </c>
      <c r="N73" s="1">
        <v>0</v>
      </c>
      <c r="O73" s="1">
        <v>1</v>
      </c>
      <c r="P73" s="1">
        <v>1</v>
      </c>
      <c r="Q73" s="1">
        <v>0</v>
      </c>
      <c r="R73" s="1">
        <v>1</v>
      </c>
      <c r="S73" s="1">
        <v>0</v>
      </c>
      <c r="T73" s="2">
        <v>1</v>
      </c>
      <c r="U73">
        <f>SUM(B73:S73)</f>
        <v>11</v>
      </c>
      <c r="W73" t="s">
        <v>97</v>
      </c>
    </row>
    <row r="74" spans="1:23" x14ac:dyDescent="0.4">
      <c r="A74" t="s">
        <v>99</v>
      </c>
      <c r="B74" s="1">
        <v>1</v>
      </c>
      <c r="C74" s="1">
        <v>0</v>
      </c>
      <c r="D74" s="1">
        <v>0</v>
      </c>
      <c r="E74" s="1">
        <v>1</v>
      </c>
      <c r="F74" s="1">
        <v>0</v>
      </c>
      <c r="G74" s="1">
        <v>0</v>
      </c>
      <c r="H74" s="1">
        <v>0</v>
      </c>
      <c r="I74" s="1">
        <v>0</v>
      </c>
      <c r="J74" s="1">
        <v>1</v>
      </c>
      <c r="K74" s="1">
        <v>0</v>
      </c>
      <c r="L74" s="1">
        <v>1</v>
      </c>
      <c r="M74" s="1">
        <v>1</v>
      </c>
      <c r="N74" s="1">
        <v>0</v>
      </c>
      <c r="O74" s="1">
        <v>1</v>
      </c>
      <c r="P74" s="1">
        <v>1</v>
      </c>
      <c r="Q74" s="1">
        <v>1</v>
      </c>
      <c r="R74" s="1">
        <v>0</v>
      </c>
      <c r="S74" s="1">
        <v>0</v>
      </c>
      <c r="U74">
        <f>SUM(B74:S74)</f>
        <v>8</v>
      </c>
      <c r="W74" t="s">
        <v>99</v>
      </c>
    </row>
    <row r="75" spans="1:23" x14ac:dyDescent="0.4">
      <c r="A75" t="s">
        <v>100</v>
      </c>
      <c r="B75" s="1">
        <v>1</v>
      </c>
      <c r="C75" s="1">
        <v>0</v>
      </c>
      <c r="D75" s="1">
        <v>0</v>
      </c>
      <c r="E75" s="1">
        <v>1</v>
      </c>
      <c r="F75" s="1">
        <v>0</v>
      </c>
      <c r="G75" s="1">
        <v>0</v>
      </c>
      <c r="H75" s="1">
        <v>1</v>
      </c>
      <c r="I75" s="1">
        <v>1</v>
      </c>
      <c r="J75" s="1">
        <v>1</v>
      </c>
      <c r="K75" s="1">
        <v>1</v>
      </c>
      <c r="L75" s="1">
        <v>1</v>
      </c>
      <c r="M75" s="1">
        <v>1</v>
      </c>
      <c r="N75" s="1">
        <v>0</v>
      </c>
      <c r="O75" s="1">
        <v>1</v>
      </c>
      <c r="P75" s="1">
        <v>0</v>
      </c>
      <c r="Q75" s="1">
        <v>0</v>
      </c>
      <c r="R75" s="1">
        <v>1</v>
      </c>
      <c r="S75" s="1">
        <v>0</v>
      </c>
      <c r="U75">
        <f>SUM(B75:S75)</f>
        <v>10</v>
      </c>
      <c r="W75" t="s">
        <v>100</v>
      </c>
    </row>
    <row r="76" spans="1:23" x14ac:dyDescent="0.4">
      <c r="A76" t="s">
        <v>101</v>
      </c>
      <c r="B76" s="1">
        <v>1</v>
      </c>
      <c r="C76" s="1">
        <v>0</v>
      </c>
      <c r="D76" s="1">
        <v>0</v>
      </c>
      <c r="E76" s="1">
        <v>1</v>
      </c>
      <c r="F76" s="1">
        <v>1</v>
      </c>
      <c r="G76" s="1">
        <v>0</v>
      </c>
      <c r="H76" s="1">
        <v>1</v>
      </c>
      <c r="I76" s="1">
        <v>1</v>
      </c>
      <c r="J76" s="1">
        <v>1</v>
      </c>
      <c r="K76" s="1">
        <v>1</v>
      </c>
      <c r="L76" s="1">
        <v>1</v>
      </c>
      <c r="M76" s="1">
        <v>1</v>
      </c>
      <c r="N76" s="1">
        <v>1</v>
      </c>
      <c r="O76" s="1">
        <v>1</v>
      </c>
      <c r="P76" s="1">
        <v>0</v>
      </c>
      <c r="Q76" s="1">
        <v>1</v>
      </c>
      <c r="R76" s="1">
        <v>1</v>
      </c>
      <c r="S76" s="1">
        <v>0</v>
      </c>
      <c r="U76">
        <f>SUM(B76:S76)</f>
        <v>13</v>
      </c>
      <c r="W76" t="s">
        <v>101</v>
      </c>
    </row>
    <row r="77" spans="1:23" x14ac:dyDescent="0.4">
      <c r="A77" t="s">
        <v>103</v>
      </c>
      <c r="B77" s="1">
        <v>1</v>
      </c>
      <c r="C77" s="1">
        <v>1</v>
      </c>
      <c r="D77" s="1">
        <v>0</v>
      </c>
      <c r="E77" s="1">
        <v>1</v>
      </c>
      <c r="F77" s="1">
        <v>1</v>
      </c>
      <c r="G77" s="1">
        <v>0</v>
      </c>
      <c r="H77" s="1">
        <v>1</v>
      </c>
      <c r="I77" s="1">
        <v>1</v>
      </c>
      <c r="J77" s="1">
        <v>1</v>
      </c>
      <c r="K77" s="1">
        <v>1</v>
      </c>
      <c r="L77" s="1">
        <v>1</v>
      </c>
      <c r="M77" s="1">
        <v>1</v>
      </c>
      <c r="N77" s="1">
        <v>1</v>
      </c>
      <c r="O77" s="1">
        <v>1</v>
      </c>
      <c r="P77" s="1">
        <v>0</v>
      </c>
      <c r="Q77" s="1">
        <v>1</v>
      </c>
      <c r="R77" s="1">
        <v>1</v>
      </c>
      <c r="S77" s="1">
        <v>0</v>
      </c>
      <c r="U77">
        <f>SUM(B77:S77)</f>
        <v>14</v>
      </c>
      <c r="W77" t="s">
        <v>103</v>
      </c>
    </row>
    <row r="78" spans="1:23" x14ac:dyDescent="0.4">
      <c r="A78" t="s">
        <v>104</v>
      </c>
      <c r="B78" s="1">
        <v>1</v>
      </c>
      <c r="C78" s="1">
        <v>1</v>
      </c>
      <c r="D78" s="1">
        <v>0</v>
      </c>
      <c r="E78" s="1">
        <v>1</v>
      </c>
      <c r="F78" s="1">
        <v>1</v>
      </c>
      <c r="G78" s="1">
        <v>0</v>
      </c>
      <c r="H78" s="1">
        <v>1</v>
      </c>
      <c r="I78" s="1">
        <v>1</v>
      </c>
      <c r="J78" s="1">
        <v>1</v>
      </c>
      <c r="K78" s="1">
        <v>1</v>
      </c>
      <c r="L78" s="1">
        <v>1</v>
      </c>
      <c r="M78" s="1">
        <v>1</v>
      </c>
      <c r="N78" s="1">
        <v>0</v>
      </c>
      <c r="O78" s="1">
        <v>1</v>
      </c>
      <c r="P78" s="1">
        <v>0</v>
      </c>
      <c r="Q78" s="1">
        <v>0</v>
      </c>
      <c r="R78" s="1">
        <v>1</v>
      </c>
      <c r="S78" s="1">
        <v>0</v>
      </c>
      <c r="U78">
        <f>SUM(B78:S78)</f>
        <v>12</v>
      </c>
      <c r="W78" t="s">
        <v>104</v>
      </c>
    </row>
    <row r="79" spans="1:23" x14ac:dyDescent="0.4">
      <c r="A79" t="s">
        <v>105</v>
      </c>
      <c r="B79" s="1">
        <v>1</v>
      </c>
      <c r="C79" s="1">
        <v>0</v>
      </c>
      <c r="D79" s="1">
        <v>0</v>
      </c>
      <c r="E79" s="1">
        <v>1</v>
      </c>
      <c r="F79" s="1">
        <v>1</v>
      </c>
      <c r="G79" s="1">
        <v>0</v>
      </c>
      <c r="H79" s="1">
        <v>1</v>
      </c>
      <c r="I79" s="1">
        <v>1</v>
      </c>
      <c r="J79" s="1">
        <v>1</v>
      </c>
      <c r="K79" s="1">
        <v>1</v>
      </c>
      <c r="L79" s="1">
        <v>1</v>
      </c>
      <c r="M79" s="1">
        <v>1</v>
      </c>
      <c r="N79" s="1">
        <v>0</v>
      </c>
      <c r="O79" s="1">
        <v>1</v>
      </c>
      <c r="P79" s="1">
        <v>0</v>
      </c>
      <c r="Q79" s="1">
        <v>0</v>
      </c>
      <c r="R79" s="1">
        <v>0</v>
      </c>
      <c r="S79" s="1">
        <v>0</v>
      </c>
      <c r="U79">
        <f>SUM(B79:S79)</f>
        <v>10</v>
      </c>
      <c r="W79" t="s">
        <v>105</v>
      </c>
    </row>
    <row r="80" spans="1:23" x14ac:dyDescent="0.4">
      <c r="A80" t="s">
        <v>106</v>
      </c>
      <c r="B80" s="1">
        <v>1</v>
      </c>
      <c r="C80" s="1">
        <v>0</v>
      </c>
      <c r="D80" s="1">
        <v>0</v>
      </c>
      <c r="E80" s="1">
        <v>1</v>
      </c>
      <c r="F80" s="1">
        <v>1</v>
      </c>
      <c r="G80" s="1">
        <v>0</v>
      </c>
      <c r="H80" s="1">
        <v>1</v>
      </c>
      <c r="I80" s="1">
        <v>1</v>
      </c>
      <c r="J80" s="1">
        <v>1</v>
      </c>
      <c r="K80" s="1">
        <v>1</v>
      </c>
      <c r="L80" s="1">
        <v>1</v>
      </c>
      <c r="M80" s="1">
        <v>1</v>
      </c>
      <c r="N80" s="1">
        <v>1</v>
      </c>
      <c r="O80" s="1">
        <v>1</v>
      </c>
      <c r="P80" s="1">
        <v>0</v>
      </c>
      <c r="Q80" s="1">
        <v>0</v>
      </c>
      <c r="R80" s="1">
        <v>0</v>
      </c>
      <c r="S80" s="1">
        <v>0</v>
      </c>
      <c r="U80">
        <f>SUM(B80:S80)</f>
        <v>11</v>
      </c>
      <c r="W80" t="s">
        <v>106</v>
      </c>
    </row>
    <row r="81" spans="1:23" x14ac:dyDescent="0.4">
      <c r="A81" t="s">
        <v>107</v>
      </c>
      <c r="B81" s="1">
        <v>1</v>
      </c>
      <c r="C81" s="1">
        <v>0</v>
      </c>
      <c r="D81" s="1">
        <v>0</v>
      </c>
      <c r="E81" s="1">
        <v>1</v>
      </c>
      <c r="F81" s="1">
        <v>1</v>
      </c>
      <c r="G81" s="1">
        <v>0</v>
      </c>
      <c r="H81" s="1">
        <v>1</v>
      </c>
      <c r="I81" s="1">
        <v>1</v>
      </c>
      <c r="J81" s="1">
        <v>1</v>
      </c>
      <c r="K81" s="1">
        <v>1</v>
      </c>
      <c r="L81" s="1">
        <v>1</v>
      </c>
      <c r="M81" s="1">
        <v>1</v>
      </c>
      <c r="N81" s="1">
        <v>0</v>
      </c>
      <c r="O81" s="1">
        <v>1</v>
      </c>
      <c r="P81" s="1">
        <v>0</v>
      </c>
      <c r="Q81" s="1">
        <v>1</v>
      </c>
      <c r="R81" s="1">
        <v>0</v>
      </c>
      <c r="S81" s="1">
        <v>0</v>
      </c>
      <c r="U81">
        <f>SUM(B81:S81)</f>
        <v>11</v>
      </c>
      <c r="W81" t="s">
        <v>107</v>
      </c>
    </row>
    <row r="82" spans="1:23" x14ac:dyDescent="0.4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U82">
        <f>SUM(B82:S82)</f>
        <v>0</v>
      </c>
    </row>
    <row r="83" spans="1:23" x14ac:dyDescent="0.4">
      <c r="A83" t="s">
        <v>11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U83">
        <f>SUM(B83:S83)</f>
        <v>0</v>
      </c>
      <c r="W83" t="s">
        <v>11</v>
      </c>
    </row>
    <row r="84" spans="1:23" x14ac:dyDescent="0.4">
      <c r="A84" t="s">
        <v>158</v>
      </c>
      <c r="B84" s="1">
        <v>1</v>
      </c>
      <c r="C84" s="1">
        <v>1</v>
      </c>
      <c r="D84" s="1">
        <v>0</v>
      </c>
      <c r="E84" s="1">
        <v>1</v>
      </c>
      <c r="F84" s="1">
        <v>1</v>
      </c>
      <c r="G84" s="1">
        <v>0</v>
      </c>
      <c r="H84" s="1">
        <v>1</v>
      </c>
      <c r="I84" s="1">
        <v>1</v>
      </c>
      <c r="J84" s="1">
        <v>1</v>
      </c>
      <c r="K84" s="1">
        <v>0</v>
      </c>
      <c r="L84" s="1">
        <v>1</v>
      </c>
      <c r="M84" s="1">
        <v>1</v>
      </c>
      <c r="N84" s="1">
        <v>1</v>
      </c>
      <c r="O84" s="1">
        <v>1</v>
      </c>
      <c r="P84" s="1">
        <v>1</v>
      </c>
      <c r="Q84" s="1">
        <v>0</v>
      </c>
      <c r="R84" s="1">
        <v>0</v>
      </c>
      <c r="S84" s="1">
        <v>0</v>
      </c>
      <c r="U84">
        <f>SUM(B84:S84)</f>
        <v>12</v>
      </c>
      <c r="W84" t="s">
        <v>158</v>
      </c>
    </row>
    <row r="85" spans="1:23" x14ac:dyDescent="0.4">
      <c r="A85" t="s">
        <v>159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U85">
        <f>SUM(B85:S85)</f>
        <v>0</v>
      </c>
      <c r="W85" t="s">
        <v>159</v>
      </c>
    </row>
    <row r="86" spans="1:23" x14ac:dyDescent="0.4">
      <c r="A86" t="s">
        <v>160</v>
      </c>
      <c r="B86" s="1">
        <v>1</v>
      </c>
      <c r="C86" s="1">
        <v>1</v>
      </c>
      <c r="D86" s="1">
        <v>0</v>
      </c>
      <c r="E86" s="1">
        <v>1</v>
      </c>
      <c r="F86" s="1">
        <v>1</v>
      </c>
      <c r="G86" s="1">
        <v>0</v>
      </c>
      <c r="H86" s="1">
        <v>1</v>
      </c>
      <c r="I86" s="1">
        <v>1</v>
      </c>
      <c r="J86" s="1">
        <v>1</v>
      </c>
      <c r="K86" s="1">
        <v>1</v>
      </c>
      <c r="L86" s="1">
        <v>1</v>
      </c>
      <c r="M86" s="1">
        <v>1</v>
      </c>
      <c r="N86" s="1">
        <v>0</v>
      </c>
      <c r="O86" s="1">
        <v>1</v>
      </c>
      <c r="P86" s="1">
        <v>0</v>
      </c>
      <c r="Q86" s="1">
        <v>0</v>
      </c>
      <c r="R86" s="1">
        <v>0</v>
      </c>
      <c r="S86" s="1">
        <v>0</v>
      </c>
      <c r="U86">
        <f>SUM(B86:S86)</f>
        <v>11</v>
      </c>
      <c r="W86" t="s">
        <v>160</v>
      </c>
    </row>
    <row r="87" spans="1:23" x14ac:dyDescent="0.4">
      <c r="A87" t="s">
        <v>161</v>
      </c>
      <c r="B87" s="1">
        <v>0</v>
      </c>
      <c r="C87" s="1">
        <v>0</v>
      </c>
      <c r="D87" s="1">
        <v>0</v>
      </c>
      <c r="E87" s="1">
        <v>1</v>
      </c>
      <c r="F87" s="1">
        <v>1</v>
      </c>
      <c r="G87" s="1">
        <v>0</v>
      </c>
      <c r="H87" s="1">
        <v>1</v>
      </c>
      <c r="I87" s="1">
        <v>1</v>
      </c>
      <c r="J87" s="1">
        <v>1</v>
      </c>
      <c r="K87" s="1">
        <v>1</v>
      </c>
      <c r="L87" s="1">
        <v>1</v>
      </c>
      <c r="M87" s="1">
        <v>1</v>
      </c>
      <c r="N87" s="1">
        <v>1</v>
      </c>
      <c r="O87" s="1">
        <v>0</v>
      </c>
      <c r="P87" s="1">
        <v>1</v>
      </c>
      <c r="Q87">
        <v>1</v>
      </c>
      <c r="R87" s="1">
        <v>0</v>
      </c>
      <c r="S87" s="1">
        <v>0</v>
      </c>
      <c r="U87">
        <f>SUM(B87:S87)</f>
        <v>11</v>
      </c>
      <c r="W87" t="s">
        <v>161</v>
      </c>
    </row>
    <row r="88" spans="1:23" x14ac:dyDescent="0.4">
      <c r="A88" t="s">
        <v>162</v>
      </c>
      <c r="B88" s="1">
        <v>1</v>
      </c>
      <c r="C88" s="1">
        <v>1</v>
      </c>
      <c r="D88" s="1">
        <v>0</v>
      </c>
      <c r="E88" s="1">
        <v>1</v>
      </c>
      <c r="F88" s="1">
        <v>1</v>
      </c>
      <c r="G88" s="1">
        <v>0</v>
      </c>
      <c r="H88" s="1">
        <v>1</v>
      </c>
      <c r="I88" s="1">
        <v>1</v>
      </c>
      <c r="J88" s="1">
        <v>1</v>
      </c>
      <c r="K88" s="1">
        <v>1</v>
      </c>
      <c r="L88" s="1">
        <v>1</v>
      </c>
      <c r="M88" s="1">
        <v>1</v>
      </c>
      <c r="N88" s="1">
        <v>1</v>
      </c>
      <c r="O88" s="1">
        <v>1</v>
      </c>
      <c r="P88" s="1">
        <v>0</v>
      </c>
      <c r="Q88" s="1">
        <v>0</v>
      </c>
      <c r="R88" s="1">
        <v>1</v>
      </c>
      <c r="S88" s="1">
        <v>0</v>
      </c>
      <c r="U88">
        <f>SUM(B88:S88)</f>
        <v>13</v>
      </c>
      <c r="W88" t="s">
        <v>162</v>
      </c>
    </row>
    <row r="89" spans="1:23" x14ac:dyDescent="0.4">
      <c r="A89" t="s">
        <v>163</v>
      </c>
      <c r="B89" s="1">
        <v>1</v>
      </c>
      <c r="C89" s="1">
        <v>1</v>
      </c>
      <c r="D89" s="1">
        <v>0</v>
      </c>
      <c r="E89" s="1">
        <v>1</v>
      </c>
      <c r="F89" s="1">
        <v>1</v>
      </c>
      <c r="G89" s="1">
        <v>0</v>
      </c>
      <c r="H89" s="1">
        <v>1</v>
      </c>
      <c r="I89" s="1">
        <v>1</v>
      </c>
      <c r="J89" s="1">
        <v>1</v>
      </c>
      <c r="K89" s="1">
        <v>1</v>
      </c>
      <c r="L89" s="1">
        <v>1</v>
      </c>
      <c r="M89" s="1">
        <v>1</v>
      </c>
      <c r="N89" s="1">
        <v>1</v>
      </c>
      <c r="O89" s="1">
        <v>1</v>
      </c>
      <c r="P89" s="1">
        <v>0</v>
      </c>
      <c r="Q89" s="1">
        <v>0</v>
      </c>
      <c r="R89" s="1">
        <v>1</v>
      </c>
      <c r="S89" s="1">
        <v>0</v>
      </c>
      <c r="U89">
        <f>SUM(B89:S89)</f>
        <v>13</v>
      </c>
      <c r="W89" t="s">
        <v>163</v>
      </c>
    </row>
    <row r="90" spans="1:23" x14ac:dyDescent="0.4">
      <c r="A90" t="s">
        <v>164</v>
      </c>
      <c r="B90" s="1">
        <v>1</v>
      </c>
      <c r="C90" s="1">
        <v>0</v>
      </c>
      <c r="D90" s="1">
        <v>0</v>
      </c>
      <c r="E90" s="1">
        <v>1</v>
      </c>
      <c r="F90" s="1">
        <v>0</v>
      </c>
      <c r="G90" s="1">
        <v>0</v>
      </c>
      <c r="H90" s="1">
        <v>1</v>
      </c>
      <c r="I90" s="1">
        <v>1</v>
      </c>
      <c r="J90" s="1">
        <v>1</v>
      </c>
      <c r="K90" s="1">
        <v>1</v>
      </c>
      <c r="L90" s="1">
        <v>1</v>
      </c>
      <c r="M90" s="1">
        <v>1</v>
      </c>
      <c r="N90" s="1">
        <v>1</v>
      </c>
      <c r="O90" s="1">
        <v>1</v>
      </c>
      <c r="P90" s="1">
        <v>0</v>
      </c>
      <c r="Q90" s="1">
        <v>1</v>
      </c>
      <c r="R90" s="1">
        <v>0</v>
      </c>
      <c r="S90" s="1">
        <v>0</v>
      </c>
      <c r="U90">
        <f>SUM(B90:S90)</f>
        <v>11</v>
      </c>
      <c r="W90" t="s">
        <v>164</v>
      </c>
    </row>
    <row r="91" spans="1:23" x14ac:dyDescent="0.4">
      <c r="A91" t="s">
        <v>165</v>
      </c>
      <c r="B91" s="1">
        <v>1</v>
      </c>
      <c r="C91" s="1">
        <v>0</v>
      </c>
      <c r="D91" s="1">
        <v>0</v>
      </c>
      <c r="E91" s="1">
        <v>1</v>
      </c>
      <c r="F91" s="1">
        <v>1</v>
      </c>
      <c r="G91" s="1">
        <v>1</v>
      </c>
      <c r="H91" s="1">
        <v>1</v>
      </c>
      <c r="I91" s="1">
        <v>1</v>
      </c>
      <c r="J91" s="1">
        <v>0</v>
      </c>
      <c r="K91" s="1">
        <v>1</v>
      </c>
      <c r="L91" s="1">
        <v>1</v>
      </c>
      <c r="M91" s="1">
        <v>1</v>
      </c>
      <c r="N91" s="1">
        <v>0</v>
      </c>
      <c r="O91" s="1">
        <v>1</v>
      </c>
      <c r="P91" s="1">
        <v>0</v>
      </c>
      <c r="Q91" s="1">
        <v>0</v>
      </c>
      <c r="R91" s="1">
        <v>0</v>
      </c>
      <c r="S91" s="1">
        <v>1</v>
      </c>
      <c r="U91">
        <f>SUM(B91:S91)</f>
        <v>11</v>
      </c>
      <c r="W91" t="s">
        <v>165</v>
      </c>
    </row>
    <row r="92" spans="1:23" x14ac:dyDescent="0.4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U92">
        <f>SUM(B92:S92)</f>
        <v>0</v>
      </c>
    </row>
    <row r="93" spans="1:23" x14ac:dyDescent="0.4">
      <c r="A93" t="s">
        <v>12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U93">
        <f>SUM(B93:S93)</f>
        <v>0</v>
      </c>
      <c r="W93" t="s">
        <v>12</v>
      </c>
    </row>
    <row r="94" spans="1:23" x14ac:dyDescent="0.4">
      <c r="A94" t="s">
        <v>108</v>
      </c>
      <c r="B94" s="1">
        <v>1</v>
      </c>
      <c r="C94" s="1">
        <v>1</v>
      </c>
      <c r="D94" s="1">
        <v>0</v>
      </c>
      <c r="E94" s="1">
        <v>1</v>
      </c>
      <c r="F94" s="1">
        <v>1</v>
      </c>
      <c r="G94" s="1">
        <v>0</v>
      </c>
      <c r="H94" s="1">
        <v>0</v>
      </c>
      <c r="I94" s="1">
        <v>0</v>
      </c>
      <c r="J94" s="1">
        <v>1</v>
      </c>
      <c r="K94" s="1">
        <v>1</v>
      </c>
      <c r="L94" s="1">
        <v>1</v>
      </c>
      <c r="M94" s="1">
        <v>1</v>
      </c>
      <c r="N94" s="1">
        <v>0</v>
      </c>
      <c r="O94" s="1">
        <v>1</v>
      </c>
      <c r="P94" s="1">
        <v>0</v>
      </c>
      <c r="Q94">
        <v>1</v>
      </c>
      <c r="R94" s="1">
        <v>0</v>
      </c>
      <c r="S94" s="1">
        <v>0</v>
      </c>
      <c r="U94">
        <f>SUM(B94:S94)</f>
        <v>10</v>
      </c>
      <c r="W94" t="s">
        <v>108</v>
      </c>
    </row>
    <row r="95" spans="1:23" x14ac:dyDescent="0.4">
      <c r="A95" t="s">
        <v>109</v>
      </c>
      <c r="B95" s="1">
        <v>0</v>
      </c>
      <c r="C95" s="1">
        <v>0</v>
      </c>
      <c r="D95" s="1">
        <v>0</v>
      </c>
      <c r="E95" s="1">
        <v>1</v>
      </c>
      <c r="F95" s="1">
        <v>1</v>
      </c>
      <c r="G95" s="1">
        <v>0</v>
      </c>
      <c r="H95" s="1">
        <v>1</v>
      </c>
      <c r="I95" s="1">
        <v>1</v>
      </c>
      <c r="J95" s="1">
        <v>1</v>
      </c>
      <c r="K95" s="1">
        <v>1</v>
      </c>
      <c r="L95" s="1">
        <v>1</v>
      </c>
      <c r="M95" s="1">
        <v>1</v>
      </c>
      <c r="N95" s="1">
        <v>0</v>
      </c>
      <c r="O95" s="1">
        <v>1</v>
      </c>
      <c r="P95" s="1">
        <v>0</v>
      </c>
      <c r="Q95" s="1">
        <v>0</v>
      </c>
      <c r="R95" s="1">
        <v>0</v>
      </c>
      <c r="S95" s="1">
        <v>0</v>
      </c>
      <c r="U95">
        <f>SUM(B95:S95)</f>
        <v>9</v>
      </c>
      <c r="W95" t="s">
        <v>109</v>
      </c>
    </row>
    <row r="96" spans="1:23" x14ac:dyDescent="0.4">
      <c r="A96" t="s">
        <v>110</v>
      </c>
      <c r="B96" s="1">
        <v>1</v>
      </c>
      <c r="C96" s="1">
        <v>1</v>
      </c>
      <c r="D96" s="1">
        <v>0</v>
      </c>
      <c r="E96" s="1">
        <v>1</v>
      </c>
      <c r="F96" s="1">
        <v>1</v>
      </c>
      <c r="G96" s="1">
        <v>0</v>
      </c>
      <c r="H96" s="1">
        <v>1</v>
      </c>
      <c r="I96" s="1">
        <v>0</v>
      </c>
      <c r="J96" s="1">
        <v>1</v>
      </c>
      <c r="K96" s="1">
        <v>0</v>
      </c>
      <c r="L96" s="1">
        <v>1</v>
      </c>
      <c r="M96" s="1">
        <v>1</v>
      </c>
      <c r="N96" s="1">
        <v>0</v>
      </c>
      <c r="O96" s="1">
        <v>1</v>
      </c>
      <c r="P96" s="1">
        <v>0</v>
      </c>
      <c r="Q96" s="1">
        <v>0</v>
      </c>
      <c r="R96" s="1">
        <v>0</v>
      </c>
      <c r="S96" s="1">
        <v>0</v>
      </c>
      <c r="U96">
        <f>SUM(B96:S96)</f>
        <v>9</v>
      </c>
      <c r="W96" t="s">
        <v>110</v>
      </c>
    </row>
    <row r="97" spans="1:23" x14ac:dyDescent="0.4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U97">
        <f>SUM(B97:S97)</f>
        <v>0</v>
      </c>
    </row>
    <row r="98" spans="1:23" x14ac:dyDescent="0.4">
      <c r="A98" t="s">
        <v>13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U98">
        <f>SUM(B98:S98)</f>
        <v>0</v>
      </c>
      <c r="W98" t="s">
        <v>13</v>
      </c>
    </row>
    <row r="99" spans="1:23" x14ac:dyDescent="0.4">
      <c r="A99" t="s">
        <v>111</v>
      </c>
      <c r="B99" s="1">
        <v>1</v>
      </c>
      <c r="C99" s="1">
        <v>0</v>
      </c>
      <c r="D99" s="1">
        <v>0</v>
      </c>
      <c r="E99" s="1">
        <v>1</v>
      </c>
      <c r="F99" s="1">
        <v>0</v>
      </c>
      <c r="G99" s="1">
        <v>0</v>
      </c>
      <c r="H99" s="1">
        <v>0</v>
      </c>
      <c r="I99" s="1">
        <v>1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U99">
        <f>SUM(B99:S99)</f>
        <v>3</v>
      </c>
      <c r="W99" t="s">
        <v>111</v>
      </c>
    </row>
    <row r="100" spans="1:23" x14ac:dyDescent="0.4">
      <c r="A100" t="s">
        <v>112</v>
      </c>
      <c r="B100" s="1">
        <v>1</v>
      </c>
      <c r="C100" s="1">
        <v>0</v>
      </c>
      <c r="D100" s="1">
        <v>1</v>
      </c>
      <c r="E100" s="1">
        <v>1</v>
      </c>
      <c r="F100" s="1">
        <v>1</v>
      </c>
      <c r="G100" s="1">
        <v>0</v>
      </c>
      <c r="H100" s="1">
        <v>1</v>
      </c>
      <c r="I100" s="1">
        <v>1</v>
      </c>
      <c r="J100" s="1">
        <v>1</v>
      </c>
      <c r="K100" s="1">
        <v>0</v>
      </c>
      <c r="L100" s="1">
        <v>1</v>
      </c>
      <c r="M100" s="1">
        <v>1</v>
      </c>
      <c r="N100" s="1">
        <v>0</v>
      </c>
      <c r="O100" s="1">
        <v>1</v>
      </c>
      <c r="P100" s="1">
        <v>1</v>
      </c>
      <c r="Q100" s="1">
        <v>1</v>
      </c>
      <c r="R100" s="1">
        <v>0</v>
      </c>
      <c r="S100" s="1">
        <v>0</v>
      </c>
      <c r="U100">
        <f>SUM(B100:S100)</f>
        <v>12</v>
      </c>
      <c r="W100" t="s">
        <v>112</v>
      </c>
    </row>
    <row r="101" spans="1:23" x14ac:dyDescent="0.4">
      <c r="A101" t="s">
        <v>113</v>
      </c>
      <c r="B101" s="1">
        <v>1</v>
      </c>
      <c r="C101" s="1">
        <v>0</v>
      </c>
      <c r="D101" s="1">
        <v>1</v>
      </c>
      <c r="E101" s="1">
        <v>1</v>
      </c>
      <c r="F101" s="1">
        <v>1</v>
      </c>
      <c r="G101" s="1">
        <v>0</v>
      </c>
      <c r="H101" s="1">
        <v>1</v>
      </c>
      <c r="I101" s="1">
        <v>0</v>
      </c>
      <c r="J101" s="1">
        <v>1</v>
      </c>
      <c r="K101" s="1">
        <v>1</v>
      </c>
      <c r="L101" s="1">
        <v>1</v>
      </c>
      <c r="M101" s="1">
        <v>1</v>
      </c>
      <c r="N101" s="1">
        <v>0</v>
      </c>
      <c r="O101" s="1">
        <v>1</v>
      </c>
      <c r="P101" s="1">
        <v>1</v>
      </c>
      <c r="Q101" s="1">
        <v>0</v>
      </c>
      <c r="R101" s="1">
        <v>1</v>
      </c>
      <c r="S101" s="1">
        <v>0</v>
      </c>
      <c r="U101">
        <f>SUM(B101:S101)</f>
        <v>12</v>
      </c>
      <c r="W101" t="s">
        <v>113</v>
      </c>
    </row>
    <row r="102" spans="1:23" x14ac:dyDescent="0.4">
      <c r="U102">
        <f>SUM(B102:S102)</f>
        <v>0</v>
      </c>
    </row>
    <row r="103" spans="1:23" x14ac:dyDescent="0.4">
      <c r="A103" t="s">
        <v>14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U103">
        <f>SUM(B103:S103)</f>
        <v>0</v>
      </c>
      <c r="W103" t="s">
        <v>14</v>
      </c>
    </row>
    <row r="104" spans="1:23" x14ac:dyDescent="0.4">
      <c r="A104" t="s">
        <v>128</v>
      </c>
      <c r="B104" s="1">
        <v>1</v>
      </c>
      <c r="C104" s="1">
        <v>0</v>
      </c>
      <c r="D104" s="1">
        <v>0</v>
      </c>
      <c r="E104" s="1">
        <v>1</v>
      </c>
      <c r="F104" s="1">
        <v>1</v>
      </c>
      <c r="G104" s="1">
        <v>0</v>
      </c>
      <c r="H104" s="1">
        <v>1</v>
      </c>
      <c r="I104" s="1">
        <v>0</v>
      </c>
      <c r="J104" s="1">
        <v>1</v>
      </c>
      <c r="K104" s="1">
        <v>1</v>
      </c>
      <c r="L104" s="1">
        <v>1</v>
      </c>
      <c r="M104" s="1">
        <v>1</v>
      </c>
      <c r="N104" s="1">
        <v>1</v>
      </c>
      <c r="O104" s="1">
        <v>1</v>
      </c>
      <c r="P104" s="1">
        <v>1</v>
      </c>
      <c r="Q104" s="1">
        <v>0</v>
      </c>
      <c r="R104" s="1">
        <v>0</v>
      </c>
      <c r="S104" s="1">
        <v>0</v>
      </c>
      <c r="U104">
        <f>SUM(B104:S104)</f>
        <v>11</v>
      </c>
      <c r="W104" t="s">
        <v>128</v>
      </c>
    </row>
    <row r="105" spans="1:23" x14ac:dyDescent="0.4">
      <c r="A105" t="s">
        <v>129</v>
      </c>
      <c r="B105" s="1">
        <v>1</v>
      </c>
      <c r="C105" s="1">
        <v>1</v>
      </c>
      <c r="D105" s="1">
        <v>0</v>
      </c>
      <c r="E105" s="1">
        <v>1</v>
      </c>
      <c r="F105" s="1">
        <v>0</v>
      </c>
      <c r="G105" s="1">
        <v>0</v>
      </c>
      <c r="H105" s="1">
        <v>1</v>
      </c>
      <c r="I105" s="1">
        <v>0</v>
      </c>
      <c r="J105" s="1">
        <v>1</v>
      </c>
      <c r="K105" s="1">
        <v>1</v>
      </c>
      <c r="L105" s="1">
        <v>1</v>
      </c>
      <c r="M105" s="1">
        <v>1</v>
      </c>
      <c r="N105" s="1">
        <v>1</v>
      </c>
      <c r="O105" s="1">
        <v>0</v>
      </c>
      <c r="P105" s="1">
        <v>1</v>
      </c>
      <c r="Q105" s="1">
        <v>1</v>
      </c>
      <c r="R105" s="1">
        <v>0</v>
      </c>
      <c r="S105" s="1">
        <v>0</v>
      </c>
      <c r="U105">
        <f>SUM(B105:S105)</f>
        <v>11</v>
      </c>
      <c r="W105" t="s">
        <v>129</v>
      </c>
    </row>
    <row r="106" spans="1:23" x14ac:dyDescent="0.4">
      <c r="A106" t="s">
        <v>130</v>
      </c>
      <c r="B106" s="1">
        <v>1</v>
      </c>
      <c r="C106" s="1">
        <v>0</v>
      </c>
      <c r="D106" s="1">
        <v>0</v>
      </c>
      <c r="E106" s="1">
        <v>1</v>
      </c>
      <c r="F106" s="1">
        <v>1</v>
      </c>
      <c r="G106" s="1">
        <v>0</v>
      </c>
      <c r="H106" s="1">
        <v>1</v>
      </c>
      <c r="I106" s="1">
        <v>1</v>
      </c>
      <c r="J106" s="1">
        <v>1</v>
      </c>
      <c r="K106" s="1">
        <v>1</v>
      </c>
      <c r="L106" s="1">
        <v>1</v>
      </c>
      <c r="M106" s="1">
        <v>1</v>
      </c>
      <c r="N106" s="1">
        <v>0</v>
      </c>
      <c r="O106" s="1">
        <v>1</v>
      </c>
      <c r="P106" s="1">
        <v>0</v>
      </c>
      <c r="Q106" s="1">
        <v>0</v>
      </c>
      <c r="R106" s="1">
        <v>0</v>
      </c>
      <c r="S106" s="1">
        <v>0</v>
      </c>
      <c r="U106">
        <f>SUM(B106:S106)</f>
        <v>10</v>
      </c>
      <c r="W106" t="s">
        <v>130</v>
      </c>
    </row>
    <row r="107" spans="1:23" x14ac:dyDescent="0.4">
      <c r="A107" t="s">
        <v>131</v>
      </c>
      <c r="B107" s="1">
        <v>1</v>
      </c>
      <c r="C107" s="1">
        <v>1</v>
      </c>
      <c r="D107" s="1">
        <v>1</v>
      </c>
      <c r="E107" s="1">
        <v>1</v>
      </c>
      <c r="F107" s="1">
        <v>0</v>
      </c>
      <c r="G107" s="1">
        <v>0</v>
      </c>
      <c r="H107" s="1">
        <v>1</v>
      </c>
      <c r="I107" s="1">
        <v>1</v>
      </c>
      <c r="J107" s="1">
        <v>1</v>
      </c>
      <c r="K107" s="1">
        <v>1</v>
      </c>
      <c r="L107" s="1">
        <v>1</v>
      </c>
      <c r="M107" s="1">
        <v>1</v>
      </c>
      <c r="N107" s="1">
        <v>1</v>
      </c>
      <c r="O107" s="1">
        <v>1</v>
      </c>
      <c r="P107" s="1">
        <v>0</v>
      </c>
      <c r="Q107" s="1">
        <v>0</v>
      </c>
      <c r="R107" s="1">
        <v>0</v>
      </c>
      <c r="S107" s="1">
        <v>0</v>
      </c>
      <c r="U107">
        <f>SUM(B107:S107)</f>
        <v>12</v>
      </c>
      <c r="W107" t="s">
        <v>131</v>
      </c>
    </row>
    <row r="108" spans="1:23" x14ac:dyDescent="0.4">
      <c r="A108" t="s">
        <v>132</v>
      </c>
      <c r="B108" s="1">
        <v>1</v>
      </c>
      <c r="C108" s="1">
        <v>0</v>
      </c>
      <c r="D108" s="1">
        <v>0</v>
      </c>
      <c r="E108" s="1">
        <v>1</v>
      </c>
      <c r="F108" s="1">
        <v>1</v>
      </c>
      <c r="G108" s="1">
        <v>0</v>
      </c>
      <c r="H108" s="1">
        <v>1</v>
      </c>
      <c r="I108" s="1">
        <v>1</v>
      </c>
      <c r="J108" s="1">
        <v>1</v>
      </c>
      <c r="K108" s="1">
        <v>0</v>
      </c>
      <c r="L108" s="1">
        <v>1</v>
      </c>
      <c r="M108" s="1">
        <v>1</v>
      </c>
      <c r="N108" s="1">
        <v>0</v>
      </c>
      <c r="O108" s="1">
        <v>1</v>
      </c>
      <c r="P108" s="1">
        <v>1</v>
      </c>
      <c r="Q108" s="1">
        <v>0</v>
      </c>
      <c r="R108" s="1">
        <v>0</v>
      </c>
      <c r="S108" s="1">
        <v>0</v>
      </c>
      <c r="U108">
        <f>SUM(B108:S108)</f>
        <v>10</v>
      </c>
      <c r="W108" t="s">
        <v>132</v>
      </c>
    </row>
    <row r="109" spans="1:23" x14ac:dyDescent="0.4">
      <c r="A109" t="s">
        <v>133</v>
      </c>
      <c r="B109" s="1">
        <v>1</v>
      </c>
      <c r="C109" s="1">
        <v>0</v>
      </c>
      <c r="D109" s="1">
        <v>0</v>
      </c>
      <c r="E109" s="1">
        <v>1</v>
      </c>
      <c r="F109" s="1">
        <v>1</v>
      </c>
      <c r="G109" s="1">
        <v>0</v>
      </c>
      <c r="H109" s="1">
        <v>1</v>
      </c>
      <c r="I109" s="1">
        <v>1</v>
      </c>
      <c r="J109" s="1">
        <v>1</v>
      </c>
      <c r="K109" s="1">
        <v>1</v>
      </c>
      <c r="L109" s="1">
        <v>1</v>
      </c>
      <c r="M109" s="1">
        <v>1</v>
      </c>
      <c r="N109" s="1">
        <v>1</v>
      </c>
      <c r="O109" s="1">
        <v>1</v>
      </c>
      <c r="P109" s="1">
        <v>1</v>
      </c>
      <c r="Q109" s="1">
        <v>0</v>
      </c>
      <c r="R109" s="1">
        <v>0</v>
      </c>
      <c r="S109" s="1">
        <v>0</v>
      </c>
      <c r="T109" s="1"/>
      <c r="U109">
        <f>SUM(B109:S109)</f>
        <v>12</v>
      </c>
      <c r="W109" t="s">
        <v>133</v>
      </c>
    </row>
    <row r="110" spans="1:23" x14ac:dyDescent="0.4">
      <c r="A110" t="s">
        <v>134</v>
      </c>
      <c r="B110" s="1">
        <v>1</v>
      </c>
      <c r="C110" s="1">
        <v>0</v>
      </c>
      <c r="D110" s="1">
        <v>0</v>
      </c>
      <c r="E110" s="1">
        <v>1</v>
      </c>
      <c r="F110" s="1">
        <v>0</v>
      </c>
      <c r="G110" s="1">
        <v>0</v>
      </c>
      <c r="H110" s="1">
        <v>1</v>
      </c>
      <c r="I110" s="1">
        <v>0</v>
      </c>
      <c r="J110" s="1">
        <v>1</v>
      </c>
      <c r="K110" s="1">
        <v>1</v>
      </c>
      <c r="L110" s="1">
        <v>0</v>
      </c>
      <c r="M110" s="1">
        <v>1</v>
      </c>
      <c r="N110" s="1">
        <v>0</v>
      </c>
      <c r="O110" s="1">
        <v>1</v>
      </c>
      <c r="P110" s="1">
        <v>1</v>
      </c>
      <c r="Q110" s="1">
        <v>0</v>
      </c>
      <c r="R110" s="1">
        <v>0</v>
      </c>
      <c r="S110" s="1">
        <v>0</v>
      </c>
      <c r="U110">
        <f>SUM(B110:S110)</f>
        <v>8</v>
      </c>
      <c r="W110" t="s">
        <v>134</v>
      </c>
    </row>
    <row r="111" spans="1:23" x14ac:dyDescent="0.4">
      <c r="A111" t="s">
        <v>39</v>
      </c>
      <c r="B111" s="1">
        <v>1</v>
      </c>
      <c r="C111" s="1">
        <v>1</v>
      </c>
      <c r="D111" s="1">
        <v>0</v>
      </c>
      <c r="E111" s="1">
        <v>1</v>
      </c>
      <c r="F111" s="1">
        <v>1</v>
      </c>
      <c r="G111" s="1">
        <v>0</v>
      </c>
      <c r="H111" s="1">
        <v>1</v>
      </c>
      <c r="I111" s="1">
        <v>1</v>
      </c>
      <c r="J111" s="1">
        <v>1</v>
      </c>
      <c r="K111" s="1">
        <v>1</v>
      </c>
      <c r="L111" s="1">
        <v>1</v>
      </c>
      <c r="M111" s="1">
        <v>1</v>
      </c>
      <c r="N111" s="1">
        <v>0</v>
      </c>
      <c r="O111" s="1">
        <v>1</v>
      </c>
      <c r="P111" s="1">
        <v>0</v>
      </c>
      <c r="Q111" s="1">
        <v>0</v>
      </c>
      <c r="R111" s="1">
        <v>0</v>
      </c>
      <c r="S111" s="1">
        <v>0</v>
      </c>
      <c r="U111">
        <f>SUM(B111:S111)</f>
        <v>11</v>
      </c>
      <c r="W111" t="s">
        <v>39</v>
      </c>
    </row>
    <row r="112" spans="1:23" x14ac:dyDescent="0.4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U112">
        <f>SUM(B112:S112)</f>
        <v>0</v>
      </c>
    </row>
    <row r="113" spans="1:23" x14ac:dyDescent="0.4">
      <c r="A113" t="s">
        <v>15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U113">
        <f>SUM(B113:S113)</f>
        <v>0</v>
      </c>
      <c r="W113" t="s">
        <v>15</v>
      </c>
    </row>
    <row r="114" spans="1:23" x14ac:dyDescent="0.4">
      <c r="A114" t="s">
        <v>135</v>
      </c>
      <c r="B114" s="1">
        <v>1</v>
      </c>
      <c r="C114" s="1">
        <v>1</v>
      </c>
      <c r="D114" s="1">
        <v>1</v>
      </c>
      <c r="E114" s="1">
        <v>1</v>
      </c>
      <c r="F114" s="1">
        <v>0</v>
      </c>
      <c r="G114" s="1">
        <v>0</v>
      </c>
      <c r="H114" s="1">
        <v>1</v>
      </c>
      <c r="I114" s="1">
        <v>0</v>
      </c>
      <c r="J114" s="1">
        <v>1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1</v>
      </c>
      <c r="S114" s="1">
        <v>0</v>
      </c>
      <c r="U114">
        <f>SUM(B114:S114)</f>
        <v>7</v>
      </c>
      <c r="W114" t="s">
        <v>135</v>
      </c>
    </row>
    <row r="115" spans="1:23" x14ac:dyDescent="0.4">
      <c r="A115" t="s">
        <v>137</v>
      </c>
      <c r="B115" s="1">
        <v>0</v>
      </c>
      <c r="C115" s="1">
        <v>0</v>
      </c>
      <c r="D115" s="1">
        <v>0</v>
      </c>
      <c r="E115" s="1">
        <v>1</v>
      </c>
      <c r="F115" s="1">
        <v>0</v>
      </c>
      <c r="G115" s="1">
        <v>0</v>
      </c>
      <c r="H115" s="1">
        <v>0</v>
      </c>
      <c r="I115" s="1">
        <v>0</v>
      </c>
      <c r="J115" s="1">
        <v>1</v>
      </c>
      <c r="K115" s="1">
        <v>0</v>
      </c>
      <c r="L115" s="1">
        <v>0</v>
      </c>
      <c r="M115" s="1">
        <v>1</v>
      </c>
      <c r="N115" s="1">
        <v>0</v>
      </c>
      <c r="O115" s="1">
        <v>0</v>
      </c>
      <c r="P115" s="1">
        <v>1</v>
      </c>
      <c r="Q115" s="1">
        <v>0</v>
      </c>
      <c r="R115" s="1">
        <v>0</v>
      </c>
      <c r="S115" s="1">
        <v>0</v>
      </c>
      <c r="U115">
        <f>SUM(B115:S115)</f>
        <v>4</v>
      </c>
      <c r="W115" t="s">
        <v>137</v>
      </c>
    </row>
    <row r="116" spans="1:23" x14ac:dyDescent="0.4">
      <c r="A116" t="s">
        <v>138</v>
      </c>
      <c r="B116" s="1">
        <v>1</v>
      </c>
      <c r="C116" s="1">
        <v>0</v>
      </c>
      <c r="D116" s="1">
        <v>0</v>
      </c>
      <c r="E116" s="1">
        <v>1</v>
      </c>
      <c r="F116" s="1">
        <v>0</v>
      </c>
      <c r="G116" s="1">
        <v>0</v>
      </c>
      <c r="H116" s="1">
        <v>1</v>
      </c>
      <c r="I116" s="1">
        <v>1</v>
      </c>
      <c r="J116" s="1">
        <v>1</v>
      </c>
      <c r="K116" s="1">
        <v>0</v>
      </c>
      <c r="L116" s="1">
        <v>1</v>
      </c>
      <c r="M116" s="1">
        <v>1</v>
      </c>
      <c r="N116" s="1">
        <v>0</v>
      </c>
      <c r="O116" s="1">
        <v>1</v>
      </c>
      <c r="P116" s="1">
        <v>0</v>
      </c>
      <c r="Q116" s="1">
        <v>0</v>
      </c>
      <c r="R116" s="1">
        <v>0</v>
      </c>
      <c r="S116" s="1">
        <v>0</v>
      </c>
      <c r="U116">
        <f>SUM(B116:S116)</f>
        <v>8</v>
      </c>
      <c r="W116" t="s">
        <v>138</v>
      </c>
    </row>
    <row r="117" spans="1:23" x14ac:dyDescent="0.4">
      <c r="A117" t="s">
        <v>144</v>
      </c>
      <c r="B117" s="1">
        <v>1</v>
      </c>
      <c r="C117" s="1">
        <v>1</v>
      </c>
      <c r="D117" s="1">
        <v>0</v>
      </c>
      <c r="E117" s="1">
        <v>1</v>
      </c>
      <c r="F117" s="1">
        <v>1</v>
      </c>
      <c r="G117" s="1">
        <v>0</v>
      </c>
      <c r="H117" s="1">
        <v>0</v>
      </c>
      <c r="I117" s="1">
        <v>1</v>
      </c>
      <c r="J117" s="1">
        <v>1</v>
      </c>
      <c r="K117" s="1">
        <v>1</v>
      </c>
      <c r="L117" s="1">
        <v>1</v>
      </c>
      <c r="M117" s="1">
        <v>1</v>
      </c>
      <c r="N117" s="1">
        <v>0</v>
      </c>
      <c r="O117" s="1">
        <v>1</v>
      </c>
      <c r="P117" s="1">
        <v>1</v>
      </c>
      <c r="Q117" s="1">
        <v>0</v>
      </c>
      <c r="R117" s="1">
        <v>0</v>
      </c>
      <c r="S117" s="1">
        <v>0</v>
      </c>
      <c r="U117">
        <f>SUM(B117:S117)</f>
        <v>11</v>
      </c>
      <c r="W117" t="s">
        <v>144</v>
      </c>
    </row>
    <row r="118" spans="1:23" x14ac:dyDescent="0.4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U118">
        <f>SUM(B118:S118)</f>
        <v>0</v>
      </c>
    </row>
    <row r="119" spans="1:23" x14ac:dyDescent="0.4">
      <c r="A119" t="s">
        <v>16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U119">
        <f>SUM(B119:S119)</f>
        <v>0</v>
      </c>
      <c r="W119" t="s">
        <v>16</v>
      </c>
    </row>
    <row r="120" spans="1:23" x14ac:dyDescent="0.4">
      <c r="A120" t="s">
        <v>139</v>
      </c>
      <c r="B120" s="1">
        <v>1</v>
      </c>
      <c r="C120" s="1">
        <v>1</v>
      </c>
      <c r="D120" s="1">
        <v>0</v>
      </c>
      <c r="E120" s="1">
        <v>1</v>
      </c>
      <c r="F120" s="1">
        <v>1</v>
      </c>
      <c r="G120" s="1">
        <v>0</v>
      </c>
      <c r="H120" s="1">
        <v>1</v>
      </c>
      <c r="I120" s="1">
        <v>0</v>
      </c>
      <c r="J120" s="1">
        <v>1</v>
      </c>
      <c r="K120" s="1">
        <v>0</v>
      </c>
      <c r="L120" s="1">
        <v>1</v>
      </c>
      <c r="M120" s="1">
        <v>1</v>
      </c>
      <c r="N120" s="1">
        <v>1</v>
      </c>
      <c r="O120" s="1">
        <v>1</v>
      </c>
      <c r="P120" s="1">
        <v>0</v>
      </c>
      <c r="Q120" s="1">
        <v>0</v>
      </c>
      <c r="R120" s="1">
        <v>0</v>
      </c>
      <c r="S120" s="1">
        <v>0</v>
      </c>
      <c r="U120">
        <f>SUM(B120:S120)</f>
        <v>10</v>
      </c>
      <c r="W120" t="s">
        <v>139</v>
      </c>
    </row>
    <row r="121" spans="1:23" x14ac:dyDescent="0.4">
      <c r="A121" t="s">
        <v>136</v>
      </c>
      <c r="B121" s="1">
        <v>1</v>
      </c>
      <c r="C121" s="1">
        <v>1</v>
      </c>
      <c r="D121" s="1">
        <v>0</v>
      </c>
      <c r="E121" s="1">
        <v>1</v>
      </c>
      <c r="F121" s="1">
        <v>1</v>
      </c>
      <c r="G121" s="1">
        <v>0</v>
      </c>
      <c r="H121" s="1">
        <v>0</v>
      </c>
      <c r="I121" s="1">
        <v>1</v>
      </c>
      <c r="J121" s="1">
        <v>0</v>
      </c>
      <c r="K121" s="1">
        <v>1</v>
      </c>
      <c r="L121" s="1">
        <v>1</v>
      </c>
      <c r="M121" s="1">
        <v>0</v>
      </c>
      <c r="N121" s="1">
        <v>1</v>
      </c>
      <c r="O121" s="1">
        <v>1</v>
      </c>
      <c r="P121" s="1">
        <v>0</v>
      </c>
      <c r="Q121" s="1">
        <v>0</v>
      </c>
      <c r="R121" s="1">
        <v>0</v>
      </c>
      <c r="S121" s="1">
        <v>0</v>
      </c>
      <c r="T121" s="1"/>
      <c r="U121">
        <f>SUM(B121:S121)</f>
        <v>9</v>
      </c>
      <c r="W121" t="s">
        <v>136</v>
      </c>
    </row>
    <row r="122" spans="1:23" x14ac:dyDescent="0.4">
      <c r="A122" t="s">
        <v>140</v>
      </c>
      <c r="B122" s="1">
        <v>1</v>
      </c>
      <c r="C122" s="1">
        <v>1</v>
      </c>
      <c r="D122" s="1">
        <v>1</v>
      </c>
      <c r="E122" s="1">
        <v>1</v>
      </c>
      <c r="F122" s="1">
        <v>1</v>
      </c>
      <c r="G122" s="1">
        <v>0</v>
      </c>
      <c r="H122" s="1">
        <v>1</v>
      </c>
      <c r="I122" s="1">
        <v>1</v>
      </c>
      <c r="J122" s="1">
        <v>1</v>
      </c>
      <c r="K122" s="1">
        <v>1</v>
      </c>
      <c r="L122" s="1">
        <v>1</v>
      </c>
      <c r="M122" s="1">
        <v>1</v>
      </c>
      <c r="N122" s="1">
        <v>0</v>
      </c>
      <c r="O122" s="1">
        <v>1</v>
      </c>
      <c r="P122" s="1">
        <v>1</v>
      </c>
      <c r="Q122" s="1">
        <v>0</v>
      </c>
      <c r="R122" s="1">
        <v>0</v>
      </c>
      <c r="S122" s="1">
        <v>0</v>
      </c>
      <c r="U122">
        <f>SUM(B122:S122)</f>
        <v>13</v>
      </c>
      <c r="W122" t="s">
        <v>140</v>
      </c>
    </row>
    <row r="123" spans="1:23" x14ac:dyDescent="0.4">
      <c r="A123" t="s">
        <v>141</v>
      </c>
      <c r="B123" s="1">
        <v>1</v>
      </c>
      <c r="C123" s="1">
        <v>1</v>
      </c>
      <c r="D123" s="1">
        <v>0</v>
      </c>
      <c r="E123" s="1">
        <v>1</v>
      </c>
      <c r="F123" s="1">
        <v>1</v>
      </c>
      <c r="G123" s="1">
        <v>0</v>
      </c>
      <c r="H123" s="1">
        <v>1</v>
      </c>
      <c r="I123" s="1">
        <v>1</v>
      </c>
      <c r="J123" s="1">
        <v>1</v>
      </c>
      <c r="K123" s="1">
        <v>1</v>
      </c>
      <c r="L123" s="1">
        <v>1</v>
      </c>
      <c r="M123" s="1">
        <v>1</v>
      </c>
      <c r="N123" s="1">
        <v>0</v>
      </c>
      <c r="O123" s="1">
        <v>1</v>
      </c>
      <c r="P123" s="1">
        <v>1</v>
      </c>
      <c r="Q123" s="1">
        <v>0</v>
      </c>
      <c r="R123" s="1">
        <v>1</v>
      </c>
      <c r="S123" s="1">
        <v>0</v>
      </c>
      <c r="U123">
        <f>SUM(B123:S123)</f>
        <v>13</v>
      </c>
      <c r="W123" t="s">
        <v>141</v>
      </c>
    </row>
    <row r="124" spans="1:23" x14ac:dyDescent="0.4">
      <c r="A124" t="s">
        <v>142</v>
      </c>
      <c r="B124" s="1">
        <v>1</v>
      </c>
      <c r="C124" s="1">
        <v>0</v>
      </c>
      <c r="D124" s="1">
        <v>0</v>
      </c>
      <c r="E124" s="1">
        <v>1</v>
      </c>
      <c r="F124" s="1">
        <v>1</v>
      </c>
      <c r="G124" s="1">
        <v>0</v>
      </c>
      <c r="H124" s="1">
        <v>1</v>
      </c>
      <c r="I124" s="1">
        <v>1</v>
      </c>
      <c r="J124" s="1">
        <v>1</v>
      </c>
      <c r="K124" s="1">
        <v>1</v>
      </c>
      <c r="L124" s="1">
        <v>1</v>
      </c>
      <c r="M124" s="1">
        <v>1</v>
      </c>
      <c r="N124" s="1">
        <v>1</v>
      </c>
      <c r="O124" s="1">
        <v>1</v>
      </c>
      <c r="P124" s="1">
        <v>0</v>
      </c>
      <c r="Q124" s="1">
        <v>0</v>
      </c>
      <c r="R124" s="1">
        <v>0</v>
      </c>
      <c r="S124" s="1">
        <v>1</v>
      </c>
      <c r="T124" t="s">
        <v>143</v>
      </c>
      <c r="U124">
        <f>SUM(B124:S124)</f>
        <v>12</v>
      </c>
      <c r="W124" t="s">
        <v>142</v>
      </c>
    </row>
    <row r="125" spans="1:23" x14ac:dyDescent="0.4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U125">
        <f>SUM(B125:S125)</f>
        <v>0</v>
      </c>
    </row>
    <row r="126" spans="1:23" x14ac:dyDescent="0.4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U126">
        <f>SUM(B126:S126)</f>
        <v>0</v>
      </c>
    </row>
    <row r="127" spans="1:23" x14ac:dyDescent="0.4">
      <c r="A127" t="s">
        <v>17</v>
      </c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U127">
        <f>SUM(B127:S127)</f>
        <v>0</v>
      </c>
      <c r="W127" t="s">
        <v>17</v>
      </c>
    </row>
    <row r="128" spans="1:23" x14ac:dyDescent="0.4">
      <c r="A128" t="s">
        <v>145</v>
      </c>
      <c r="B128" s="1">
        <v>1</v>
      </c>
      <c r="C128" s="1">
        <v>0</v>
      </c>
      <c r="D128" s="1">
        <v>0</v>
      </c>
      <c r="E128" s="1">
        <v>1</v>
      </c>
      <c r="F128" s="1">
        <v>1</v>
      </c>
      <c r="G128" s="1">
        <v>0</v>
      </c>
      <c r="H128" s="1">
        <v>1</v>
      </c>
      <c r="I128" s="1">
        <v>1</v>
      </c>
      <c r="J128" s="1">
        <v>1</v>
      </c>
      <c r="K128" s="1">
        <v>0</v>
      </c>
      <c r="L128" s="1">
        <v>1</v>
      </c>
      <c r="M128" s="1">
        <v>1</v>
      </c>
      <c r="N128" s="1">
        <v>0</v>
      </c>
      <c r="O128" s="1">
        <v>1</v>
      </c>
      <c r="P128" s="1">
        <v>0</v>
      </c>
      <c r="Q128" s="1">
        <v>0</v>
      </c>
      <c r="R128" s="1">
        <v>0</v>
      </c>
      <c r="S128" s="1">
        <v>0</v>
      </c>
      <c r="U128">
        <f>SUM(B128:S128)</f>
        <v>9</v>
      </c>
      <c r="W128" t="s">
        <v>145</v>
      </c>
    </row>
    <row r="129" spans="1:23" x14ac:dyDescent="0.4">
      <c r="A129" t="s">
        <v>146</v>
      </c>
      <c r="B129" s="1">
        <v>1</v>
      </c>
      <c r="C129" s="1">
        <v>0</v>
      </c>
      <c r="D129" s="1">
        <v>1</v>
      </c>
      <c r="E129" s="1">
        <v>1</v>
      </c>
      <c r="F129" s="1">
        <v>1</v>
      </c>
      <c r="G129" s="1">
        <v>0</v>
      </c>
      <c r="H129" s="1">
        <v>1</v>
      </c>
      <c r="I129" s="1">
        <v>1</v>
      </c>
      <c r="J129" s="1">
        <v>1</v>
      </c>
      <c r="K129" s="1">
        <v>0</v>
      </c>
      <c r="L129" s="1">
        <v>1</v>
      </c>
      <c r="M129" s="1">
        <v>1</v>
      </c>
      <c r="N129" s="1">
        <v>0</v>
      </c>
      <c r="O129" s="1">
        <v>1</v>
      </c>
      <c r="P129" s="1">
        <v>0</v>
      </c>
      <c r="Q129" s="1">
        <v>0</v>
      </c>
      <c r="R129" s="1">
        <v>0</v>
      </c>
      <c r="S129" s="1">
        <v>0</v>
      </c>
      <c r="U129">
        <f>SUM(B129:S129)</f>
        <v>10</v>
      </c>
      <c r="W129" t="s">
        <v>146</v>
      </c>
    </row>
    <row r="130" spans="1:23" x14ac:dyDescent="0.4">
      <c r="A130" t="s">
        <v>147</v>
      </c>
      <c r="B130" s="1">
        <v>1</v>
      </c>
      <c r="C130" s="1">
        <v>1</v>
      </c>
      <c r="D130" s="1">
        <v>1</v>
      </c>
      <c r="E130" s="1">
        <v>1</v>
      </c>
      <c r="F130" s="1">
        <v>1</v>
      </c>
      <c r="G130" s="1">
        <v>1</v>
      </c>
      <c r="H130" s="1">
        <v>1</v>
      </c>
      <c r="I130" s="1">
        <v>0</v>
      </c>
      <c r="J130" s="1">
        <v>0</v>
      </c>
      <c r="K130" s="1">
        <v>1</v>
      </c>
      <c r="L130" s="1">
        <v>1</v>
      </c>
      <c r="M130" s="1">
        <v>1</v>
      </c>
      <c r="N130" s="1">
        <v>0</v>
      </c>
      <c r="O130" s="1">
        <v>1</v>
      </c>
      <c r="P130" s="1">
        <v>0</v>
      </c>
      <c r="Q130" s="1">
        <v>0</v>
      </c>
      <c r="R130" s="1">
        <v>0</v>
      </c>
      <c r="S130" s="1">
        <v>0</v>
      </c>
      <c r="U130">
        <f>SUM(B130:S130)</f>
        <v>11</v>
      </c>
      <c r="W130" t="s">
        <v>147</v>
      </c>
    </row>
    <row r="131" spans="1:23" x14ac:dyDescent="0.4">
      <c r="A131" t="s">
        <v>148</v>
      </c>
      <c r="B131" s="1">
        <v>1</v>
      </c>
      <c r="C131" s="1">
        <v>1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1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1</v>
      </c>
      <c r="Q131" s="1">
        <v>0</v>
      </c>
      <c r="R131" s="1">
        <v>0</v>
      </c>
      <c r="S131" s="1">
        <v>0</v>
      </c>
      <c r="U131">
        <f>SUM(B131:S131)</f>
        <v>4</v>
      </c>
      <c r="W131" t="s">
        <v>148</v>
      </c>
    </row>
    <row r="132" spans="1:23" x14ac:dyDescent="0.4">
      <c r="A132" t="s">
        <v>149</v>
      </c>
      <c r="B132" s="1">
        <v>1</v>
      </c>
      <c r="C132" s="1">
        <v>1</v>
      </c>
      <c r="D132" s="1">
        <v>0</v>
      </c>
      <c r="E132" s="1">
        <v>1</v>
      </c>
      <c r="F132" s="1">
        <v>1</v>
      </c>
      <c r="G132" s="1">
        <v>0</v>
      </c>
      <c r="H132" s="1">
        <v>1</v>
      </c>
      <c r="I132" s="1">
        <v>1</v>
      </c>
      <c r="J132" s="1">
        <v>1</v>
      </c>
      <c r="K132" s="1">
        <v>0</v>
      </c>
      <c r="L132" s="1">
        <v>1</v>
      </c>
      <c r="M132" s="1">
        <v>1</v>
      </c>
      <c r="N132" s="1">
        <v>0</v>
      </c>
      <c r="O132" s="1">
        <v>1</v>
      </c>
      <c r="P132" s="1">
        <v>0</v>
      </c>
      <c r="Q132" s="1">
        <v>0</v>
      </c>
      <c r="R132" s="1">
        <v>0</v>
      </c>
      <c r="S132" s="1">
        <v>0</v>
      </c>
      <c r="U132">
        <f>SUM(B132:S132)</f>
        <v>10</v>
      </c>
      <c r="W132" t="s">
        <v>149</v>
      </c>
    </row>
    <row r="133" spans="1:23" x14ac:dyDescent="0.4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U133">
        <f>SUM(B133:S133)</f>
        <v>0</v>
      </c>
    </row>
    <row r="134" spans="1:23" x14ac:dyDescent="0.4">
      <c r="A134" t="s">
        <v>18</v>
      </c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U134">
        <f>SUM(B134:S134)</f>
        <v>0</v>
      </c>
      <c r="W134" t="s">
        <v>18</v>
      </c>
    </row>
    <row r="135" spans="1:23" x14ac:dyDescent="0.4">
      <c r="A135" t="s">
        <v>150</v>
      </c>
      <c r="B135" s="1">
        <v>1</v>
      </c>
      <c r="C135" s="1">
        <v>1</v>
      </c>
      <c r="D135" s="1">
        <v>1</v>
      </c>
      <c r="E135" s="1">
        <v>1</v>
      </c>
      <c r="F135" s="1">
        <v>1</v>
      </c>
      <c r="G135" s="1">
        <v>0</v>
      </c>
      <c r="H135" s="1">
        <v>1</v>
      </c>
      <c r="I135" s="1">
        <v>1</v>
      </c>
      <c r="J135" s="1">
        <v>0</v>
      </c>
      <c r="K135" s="1">
        <v>1</v>
      </c>
      <c r="L135" s="1">
        <v>1</v>
      </c>
      <c r="M135" s="1">
        <v>1</v>
      </c>
      <c r="N135" s="1">
        <v>0</v>
      </c>
      <c r="O135" s="1">
        <v>1</v>
      </c>
      <c r="P135" s="1">
        <v>0</v>
      </c>
      <c r="Q135" s="1">
        <v>0</v>
      </c>
      <c r="R135" s="1">
        <v>0</v>
      </c>
      <c r="S135" s="1">
        <v>0</v>
      </c>
      <c r="U135">
        <f>SUM(B135:S135)</f>
        <v>11</v>
      </c>
      <c r="W135" t="s">
        <v>150</v>
      </c>
    </row>
    <row r="136" spans="1:23" x14ac:dyDescent="0.4">
      <c r="A136" t="s">
        <v>151</v>
      </c>
      <c r="B136" s="1">
        <v>1</v>
      </c>
      <c r="C136" s="1">
        <v>1</v>
      </c>
      <c r="D136" s="1">
        <v>1</v>
      </c>
      <c r="E136" s="1">
        <v>1</v>
      </c>
      <c r="F136" s="1">
        <v>1</v>
      </c>
      <c r="G136" s="1">
        <v>0</v>
      </c>
      <c r="H136" s="1">
        <v>0</v>
      </c>
      <c r="I136" s="1">
        <v>1</v>
      </c>
      <c r="J136" s="1">
        <v>1</v>
      </c>
      <c r="K136" s="1">
        <v>0</v>
      </c>
      <c r="L136" s="1">
        <v>1</v>
      </c>
      <c r="M136" s="1">
        <v>1</v>
      </c>
      <c r="N136" s="1">
        <v>1</v>
      </c>
      <c r="O136" s="1">
        <v>1</v>
      </c>
      <c r="P136" s="1">
        <v>0</v>
      </c>
      <c r="Q136" s="1">
        <v>0</v>
      </c>
      <c r="R136" s="1">
        <v>0</v>
      </c>
      <c r="S136" s="1">
        <v>0</v>
      </c>
      <c r="U136">
        <f>SUM(B136:S136)</f>
        <v>11</v>
      </c>
      <c r="W136" t="s">
        <v>151</v>
      </c>
    </row>
    <row r="137" spans="1:23" x14ac:dyDescent="0.4">
      <c r="A137" t="s">
        <v>152</v>
      </c>
      <c r="B137" s="1">
        <v>1</v>
      </c>
      <c r="C137" s="1">
        <v>1</v>
      </c>
      <c r="D137" s="1">
        <v>0</v>
      </c>
      <c r="E137" s="1">
        <v>1</v>
      </c>
      <c r="F137" s="1">
        <v>1</v>
      </c>
      <c r="G137" s="1">
        <v>0</v>
      </c>
      <c r="H137" s="1">
        <v>1</v>
      </c>
      <c r="I137" s="1">
        <v>1</v>
      </c>
      <c r="J137" s="1">
        <v>1</v>
      </c>
      <c r="K137" s="1">
        <v>0</v>
      </c>
      <c r="L137" s="1">
        <v>1</v>
      </c>
      <c r="M137" s="1">
        <v>1</v>
      </c>
      <c r="N137" s="1">
        <v>0</v>
      </c>
      <c r="O137" s="1">
        <v>1</v>
      </c>
      <c r="P137" s="1">
        <v>0</v>
      </c>
      <c r="Q137" s="1">
        <v>0</v>
      </c>
      <c r="R137" s="1">
        <v>0</v>
      </c>
      <c r="S137" s="1">
        <v>0</v>
      </c>
      <c r="U137">
        <f>SUM(B137:S137)</f>
        <v>10</v>
      </c>
      <c r="W137" t="s">
        <v>152</v>
      </c>
    </row>
    <row r="138" spans="1:23" x14ac:dyDescent="0.4">
      <c r="A138" t="s">
        <v>153</v>
      </c>
      <c r="B138" s="1">
        <v>1</v>
      </c>
      <c r="C138" s="1">
        <v>1</v>
      </c>
      <c r="D138" s="1">
        <v>0</v>
      </c>
      <c r="E138" s="1">
        <v>1</v>
      </c>
      <c r="F138" s="1">
        <v>1</v>
      </c>
      <c r="G138" s="1">
        <v>0</v>
      </c>
      <c r="H138" s="1">
        <v>1</v>
      </c>
      <c r="I138" s="1">
        <v>1</v>
      </c>
      <c r="J138" s="1">
        <v>0</v>
      </c>
      <c r="K138" s="1">
        <v>1</v>
      </c>
      <c r="L138" s="1">
        <v>1</v>
      </c>
      <c r="M138" s="1">
        <v>1</v>
      </c>
      <c r="N138" s="1">
        <v>0</v>
      </c>
      <c r="O138" s="1">
        <v>1</v>
      </c>
      <c r="P138" s="1">
        <v>1</v>
      </c>
      <c r="Q138" s="1">
        <v>0</v>
      </c>
      <c r="R138" s="1">
        <v>1</v>
      </c>
      <c r="S138" s="1">
        <v>0</v>
      </c>
      <c r="U138">
        <f>SUM(B138:S138)</f>
        <v>12</v>
      </c>
      <c r="W138" t="s">
        <v>153</v>
      </c>
    </row>
    <row r="139" spans="1:23" x14ac:dyDescent="0.4">
      <c r="U139">
        <f>SUM(B139:S139)</f>
        <v>0</v>
      </c>
    </row>
    <row r="140" spans="1:23" x14ac:dyDescent="0.4">
      <c r="A140" t="s">
        <v>19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U140">
        <f>SUM(B140:S140)</f>
        <v>0</v>
      </c>
      <c r="W140" t="s">
        <v>19</v>
      </c>
    </row>
    <row r="141" spans="1:23" x14ac:dyDescent="0.4">
      <c r="A141" t="s">
        <v>154</v>
      </c>
      <c r="B141" s="1">
        <v>1</v>
      </c>
      <c r="C141" s="1">
        <v>1</v>
      </c>
      <c r="D141" s="1">
        <v>0</v>
      </c>
      <c r="E141" s="1">
        <v>1</v>
      </c>
      <c r="F141" s="1">
        <v>0</v>
      </c>
      <c r="G141" s="1">
        <v>0</v>
      </c>
      <c r="H141" s="1">
        <v>0</v>
      </c>
      <c r="I141" s="1">
        <v>1</v>
      </c>
      <c r="J141" s="1">
        <v>1</v>
      </c>
      <c r="K141" s="1">
        <v>1</v>
      </c>
      <c r="L141" s="1">
        <v>0</v>
      </c>
      <c r="M141" s="1">
        <v>1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U141">
        <f>SUM(B141:S141)</f>
        <v>7</v>
      </c>
      <c r="W141" t="s">
        <v>154</v>
      </c>
    </row>
    <row r="142" spans="1:23" x14ac:dyDescent="0.4">
      <c r="A142" t="s">
        <v>20</v>
      </c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U142">
        <f>SUM(B142:S142)</f>
        <v>0</v>
      </c>
      <c r="W142" t="s">
        <v>20</v>
      </c>
    </row>
    <row r="143" spans="1:23" x14ac:dyDescent="0.4">
      <c r="A143" t="s">
        <v>155</v>
      </c>
      <c r="B143" s="1">
        <v>1</v>
      </c>
      <c r="C143" s="1">
        <v>1</v>
      </c>
      <c r="D143" s="1">
        <v>0</v>
      </c>
      <c r="E143" s="1">
        <v>1</v>
      </c>
      <c r="F143" s="1">
        <v>1</v>
      </c>
      <c r="G143" s="1">
        <v>0</v>
      </c>
      <c r="H143" s="1">
        <v>1</v>
      </c>
      <c r="I143" s="1">
        <v>0</v>
      </c>
      <c r="J143" s="1">
        <v>1</v>
      </c>
      <c r="K143" s="1">
        <v>0</v>
      </c>
      <c r="L143" s="1">
        <v>1</v>
      </c>
      <c r="M143" s="1">
        <v>1</v>
      </c>
      <c r="N143" s="1">
        <v>0</v>
      </c>
      <c r="O143" s="1">
        <v>1</v>
      </c>
      <c r="P143" s="1">
        <v>0</v>
      </c>
      <c r="Q143" s="1">
        <v>0</v>
      </c>
      <c r="R143" s="1">
        <v>0</v>
      </c>
      <c r="S143" s="1">
        <v>0</v>
      </c>
      <c r="U143">
        <f>SUM(B143:S143)</f>
        <v>9</v>
      </c>
      <c r="W143" t="s">
        <v>155</v>
      </c>
    </row>
    <row r="144" spans="1:23" x14ac:dyDescent="0.4">
      <c r="A144" t="s">
        <v>156</v>
      </c>
      <c r="B144" s="1">
        <v>1</v>
      </c>
      <c r="C144" s="1">
        <v>1</v>
      </c>
      <c r="D144" s="1">
        <v>0</v>
      </c>
      <c r="E144" s="1">
        <v>1</v>
      </c>
      <c r="F144" s="1">
        <v>1</v>
      </c>
      <c r="G144" s="1">
        <v>0</v>
      </c>
      <c r="H144" s="1">
        <v>1</v>
      </c>
      <c r="I144" s="1">
        <v>1</v>
      </c>
      <c r="J144" s="1">
        <v>1</v>
      </c>
      <c r="K144" s="1">
        <v>0</v>
      </c>
      <c r="L144" s="1">
        <v>0</v>
      </c>
      <c r="M144" s="1">
        <v>1</v>
      </c>
      <c r="N144" s="1">
        <v>0</v>
      </c>
      <c r="O144" s="1">
        <v>1</v>
      </c>
      <c r="P144" s="1">
        <v>0</v>
      </c>
      <c r="Q144" s="1">
        <v>0</v>
      </c>
      <c r="R144" s="1">
        <v>0</v>
      </c>
      <c r="S144" s="1">
        <v>0</v>
      </c>
      <c r="U144">
        <f>SUM(B144:S144)</f>
        <v>9</v>
      </c>
      <c r="W144" t="s">
        <v>156</v>
      </c>
    </row>
    <row r="145" spans="1:23" x14ac:dyDescent="0.4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U145">
        <f>SUM(B145:S145)</f>
        <v>0</v>
      </c>
    </row>
    <row r="146" spans="1:23" x14ac:dyDescent="0.4">
      <c r="A146" t="s">
        <v>21</v>
      </c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U146">
        <f>SUM(B146:S146)</f>
        <v>0</v>
      </c>
      <c r="W146" t="s">
        <v>21</v>
      </c>
    </row>
    <row r="147" spans="1:23" x14ac:dyDescent="0.4">
      <c r="A147" t="s">
        <v>157</v>
      </c>
      <c r="B147" s="1">
        <v>1</v>
      </c>
      <c r="C147" s="1">
        <v>0</v>
      </c>
      <c r="D147" s="1">
        <v>0</v>
      </c>
      <c r="E147" s="1">
        <v>1</v>
      </c>
      <c r="F147" s="1">
        <v>0</v>
      </c>
      <c r="G147" s="1">
        <v>0</v>
      </c>
      <c r="H147" s="1">
        <v>1</v>
      </c>
      <c r="I147" s="1">
        <v>0</v>
      </c>
      <c r="J147" s="1">
        <v>1</v>
      </c>
      <c r="K147" s="1">
        <v>0</v>
      </c>
      <c r="L147" s="1">
        <v>1</v>
      </c>
      <c r="M147" s="1">
        <v>1</v>
      </c>
      <c r="N147" s="1">
        <v>1</v>
      </c>
      <c r="O147" s="1">
        <v>1</v>
      </c>
      <c r="P147" s="1">
        <v>0</v>
      </c>
      <c r="Q147" s="1">
        <v>0</v>
      </c>
      <c r="R147" s="1">
        <v>0</v>
      </c>
      <c r="S147" s="1">
        <v>0</v>
      </c>
      <c r="T147" s="1"/>
      <c r="U147">
        <f>SUM(B147:S147)</f>
        <v>8</v>
      </c>
      <c r="W147" t="s">
        <v>157</v>
      </c>
    </row>
    <row r="148" spans="1:23" x14ac:dyDescent="0.4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U148">
        <f>SUM(B148:S148)</f>
        <v>0</v>
      </c>
    </row>
    <row r="149" spans="1:23" x14ac:dyDescent="0.4">
      <c r="B149" s="1"/>
      <c r="C149" s="1"/>
      <c r="D149" s="1"/>
      <c r="E149" s="1">
        <v>1</v>
      </c>
      <c r="F149" s="1">
        <v>1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U149">
        <f>SUM(B149:S149)</f>
        <v>2</v>
      </c>
    </row>
    <row r="150" spans="1:23" x14ac:dyDescent="0.4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U150">
        <f>SUM(B150:S150)</f>
        <v>0</v>
      </c>
    </row>
    <row r="151" spans="1:23" x14ac:dyDescent="0.4">
      <c r="A151" t="s">
        <v>22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U151">
        <f>SUM(B151:S151)</f>
        <v>0</v>
      </c>
      <c r="W151" t="s">
        <v>22</v>
      </c>
    </row>
    <row r="152" spans="1:23" x14ac:dyDescent="0.4">
      <c r="A152" t="s">
        <v>114</v>
      </c>
      <c r="B152" s="1">
        <v>1</v>
      </c>
      <c r="C152" s="1">
        <v>1</v>
      </c>
      <c r="D152" s="1">
        <v>0</v>
      </c>
      <c r="E152" s="1">
        <v>1</v>
      </c>
      <c r="F152" s="1">
        <v>0</v>
      </c>
      <c r="G152" s="1">
        <v>1</v>
      </c>
      <c r="H152" s="1">
        <v>0</v>
      </c>
      <c r="I152" s="1">
        <v>0</v>
      </c>
      <c r="J152" s="1">
        <v>1</v>
      </c>
      <c r="K152" s="1">
        <v>0</v>
      </c>
      <c r="L152" s="1">
        <v>0</v>
      </c>
      <c r="M152" s="1">
        <v>0</v>
      </c>
      <c r="N152" s="1">
        <v>0</v>
      </c>
      <c r="O152" s="1">
        <v>1</v>
      </c>
      <c r="P152" s="1">
        <v>0</v>
      </c>
      <c r="Q152">
        <v>0</v>
      </c>
      <c r="R152" s="1">
        <v>0</v>
      </c>
      <c r="S152" s="1">
        <v>0</v>
      </c>
      <c r="U152">
        <f>SUM(B152:S152)</f>
        <v>6</v>
      </c>
      <c r="W152" t="s">
        <v>114</v>
      </c>
    </row>
    <row r="153" spans="1:23" x14ac:dyDescent="0.4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U153">
        <f>SUM(B153:S153)</f>
        <v>0</v>
      </c>
    </row>
    <row r="154" spans="1:23" x14ac:dyDescent="0.4">
      <c r="A154" t="s">
        <v>23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U154">
        <f>SUM(B154:S154)</f>
        <v>0</v>
      </c>
      <c r="W154" t="s">
        <v>23</v>
      </c>
    </row>
    <row r="155" spans="1:23" x14ac:dyDescent="0.4">
      <c r="A155" t="s">
        <v>115</v>
      </c>
      <c r="B155" s="1">
        <v>1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1</v>
      </c>
      <c r="I155" s="1">
        <v>1</v>
      </c>
      <c r="J155" s="1">
        <v>0</v>
      </c>
      <c r="K155" s="1">
        <v>0</v>
      </c>
      <c r="L155" s="1">
        <v>0</v>
      </c>
      <c r="M155" s="1">
        <v>1</v>
      </c>
      <c r="N155" s="1">
        <v>0</v>
      </c>
      <c r="O155" s="1">
        <v>1</v>
      </c>
      <c r="P155" s="1">
        <v>0</v>
      </c>
      <c r="Q155" s="1">
        <v>0</v>
      </c>
      <c r="R155" s="1">
        <v>0</v>
      </c>
      <c r="S155" s="1">
        <v>0</v>
      </c>
      <c r="U155">
        <f>SUM(B155:S155)</f>
        <v>5</v>
      </c>
      <c r="W155" t="s">
        <v>115</v>
      </c>
    </row>
    <row r="156" spans="1:23" x14ac:dyDescent="0.4">
      <c r="A156" t="s">
        <v>116</v>
      </c>
      <c r="B156" s="1">
        <v>1</v>
      </c>
      <c r="C156" s="1">
        <v>1</v>
      </c>
      <c r="D156" s="1">
        <v>0</v>
      </c>
      <c r="E156" s="1">
        <v>1</v>
      </c>
      <c r="F156" s="1">
        <v>1</v>
      </c>
      <c r="G156" s="1">
        <v>0</v>
      </c>
      <c r="H156" s="1">
        <v>1</v>
      </c>
      <c r="I156" s="1">
        <v>1</v>
      </c>
      <c r="J156" s="1">
        <v>0</v>
      </c>
      <c r="K156" s="1">
        <v>0</v>
      </c>
      <c r="L156" s="1">
        <v>1</v>
      </c>
      <c r="M156" s="1">
        <v>1</v>
      </c>
      <c r="N156" s="1">
        <v>0</v>
      </c>
      <c r="O156" s="1">
        <v>1</v>
      </c>
      <c r="P156" s="1">
        <v>0</v>
      </c>
      <c r="Q156" s="1">
        <v>0</v>
      </c>
      <c r="R156" s="1">
        <v>0</v>
      </c>
      <c r="S156" s="1">
        <v>0</v>
      </c>
      <c r="U156">
        <f>SUM(B156:S156)</f>
        <v>9</v>
      </c>
      <c r="W156" t="s">
        <v>116</v>
      </c>
    </row>
    <row r="157" spans="1:23" x14ac:dyDescent="0.4">
      <c r="A157" t="s">
        <v>117</v>
      </c>
      <c r="B157" s="1">
        <v>1</v>
      </c>
      <c r="C157" s="1">
        <v>0</v>
      </c>
      <c r="D157" s="1">
        <v>0</v>
      </c>
      <c r="E157" s="1">
        <v>1</v>
      </c>
      <c r="F157" s="1">
        <v>0</v>
      </c>
      <c r="G157" s="1">
        <v>1</v>
      </c>
      <c r="H157" s="1">
        <v>1</v>
      </c>
      <c r="I157" s="1">
        <v>1</v>
      </c>
      <c r="J157" s="1">
        <v>1</v>
      </c>
      <c r="K157" s="1">
        <v>1</v>
      </c>
      <c r="L157" s="1">
        <v>1</v>
      </c>
      <c r="M157" s="1">
        <v>1</v>
      </c>
      <c r="N157" s="1">
        <v>1</v>
      </c>
      <c r="O157" s="1">
        <v>1</v>
      </c>
      <c r="P157" s="1">
        <v>0</v>
      </c>
      <c r="Q157" s="1">
        <v>0</v>
      </c>
      <c r="R157" s="1">
        <v>0</v>
      </c>
      <c r="S157" s="1">
        <v>0</v>
      </c>
      <c r="U157">
        <f>SUM(B157:S157)</f>
        <v>11</v>
      </c>
      <c r="W157" t="s">
        <v>117</v>
      </c>
    </row>
    <row r="158" spans="1:23" x14ac:dyDescent="0.4">
      <c r="A158" t="s">
        <v>118</v>
      </c>
      <c r="B158" s="1">
        <v>1</v>
      </c>
      <c r="C158" s="1">
        <v>1</v>
      </c>
      <c r="D158" s="1">
        <v>0</v>
      </c>
      <c r="E158" s="1">
        <v>1</v>
      </c>
      <c r="F158" s="1">
        <v>0</v>
      </c>
      <c r="G158" s="1">
        <v>0</v>
      </c>
      <c r="H158" s="1">
        <v>1</v>
      </c>
      <c r="I158" s="1">
        <v>1</v>
      </c>
      <c r="J158" s="1">
        <v>1</v>
      </c>
      <c r="K158" s="1">
        <v>0</v>
      </c>
      <c r="L158" s="1">
        <v>1</v>
      </c>
      <c r="M158" s="1">
        <v>1</v>
      </c>
      <c r="N158" s="1">
        <v>0</v>
      </c>
      <c r="O158" s="1">
        <v>1</v>
      </c>
      <c r="P158" s="1">
        <v>1</v>
      </c>
      <c r="Q158" s="1">
        <v>0</v>
      </c>
      <c r="R158" s="1">
        <v>0</v>
      </c>
      <c r="S158" s="1">
        <v>0</v>
      </c>
      <c r="U158">
        <f>SUM(B158:S158)</f>
        <v>10</v>
      </c>
      <c r="W158" t="s">
        <v>118</v>
      </c>
    </row>
    <row r="159" spans="1:23" x14ac:dyDescent="0.4">
      <c r="A159" t="s">
        <v>119</v>
      </c>
      <c r="B159" s="1">
        <v>1</v>
      </c>
      <c r="C159" s="1">
        <v>0</v>
      </c>
      <c r="D159" s="1">
        <v>0</v>
      </c>
      <c r="E159" s="1">
        <v>1</v>
      </c>
      <c r="F159" s="1">
        <v>1</v>
      </c>
      <c r="G159" s="1">
        <v>0</v>
      </c>
      <c r="H159" s="1">
        <v>1</v>
      </c>
      <c r="I159" s="1">
        <v>1</v>
      </c>
      <c r="J159" s="1">
        <v>1</v>
      </c>
      <c r="K159" s="1">
        <v>1</v>
      </c>
      <c r="L159" s="1">
        <v>1</v>
      </c>
      <c r="M159" s="1">
        <v>1</v>
      </c>
      <c r="N159" s="1">
        <v>1</v>
      </c>
      <c r="O159" s="1">
        <v>1</v>
      </c>
      <c r="P159" s="1">
        <v>0</v>
      </c>
      <c r="Q159" s="1">
        <v>0</v>
      </c>
      <c r="R159" s="1">
        <v>0</v>
      </c>
      <c r="S159" s="1">
        <v>0</v>
      </c>
      <c r="U159">
        <f>SUM(B159:S159)</f>
        <v>11</v>
      </c>
      <c r="W159" t="s">
        <v>119</v>
      </c>
    </row>
    <row r="160" spans="1:23" x14ac:dyDescent="0.4">
      <c r="A160" t="s">
        <v>120</v>
      </c>
      <c r="B160" s="1">
        <v>1</v>
      </c>
      <c r="C160" s="1">
        <v>0</v>
      </c>
      <c r="D160" s="1">
        <v>0</v>
      </c>
      <c r="E160" s="1">
        <v>1</v>
      </c>
      <c r="F160" s="1">
        <v>0</v>
      </c>
      <c r="G160" s="1">
        <v>0</v>
      </c>
      <c r="H160" s="1">
        <v>1</v>
      </c>
      <c r="I160" s="1">
        <v>1</v>
      </c>
      <c r="J160" s="1">
        <v>1</v>
      </c>
      <c r="K160" s="1">
        <v>1</v>
      </c>
      <c r="L160" s="1">
        <v>1</v>
      </c>
      <c r="M160" s="1">
        <v>1</v>
      </c>
      <c r="N160" s="1">
        <v>0</v>
      </c>
      <c r="O160" s="1">
        <v>1</v>
      </c>
      <c r="P160" s="1">
        <v>0</v>
      </c>
      <c r="Q160" s="1">
        <v>0</v>
      </c>
      <c r="R160" s="1">
        <v>0</v>
      </c>
      <c r="S160" s="1">
        <v>0</v>
      </c>
      <c r="U160">
        <f>SUM(B160:S160)</f>
        <v>9</v>
      </c>
      <c r="W160" t="s">
        <v>120</v>
      </c>
    </row>
    <row r="161" spans="1:23" x14ac:dyDescent="0.4">
      <c r="A161" t="s">
        <v>121</v>
      </c>
      <c r="B161" s="1">
        <v>1</v>
      </c>
      <c r="C161" s="1">
        <v>1</v>
      </c>
      <c r="D161" s="1">
        <v>0</v>
      </c>
      <c r="E161" s="1">
        <v>1</v>
      </c>
      <c r="F161" s="1">
        <v>1</v>
      </c>
      <c r="G161" s="1">
        <v>0</v>
      </c>
      <c r="H161" s="1">
        <v>1</v>
      </c>
      <c r="I161" s="1">
        <v>1</v>
      </c>
      <c r="J161" s="1">
        <v>1</v>
      </c>
      <c r="K161" s="1">
        <v>0</v>
      </c>
      <c r="L161" s="1">
        <v>0</v>
      </c>
      <c r="M161" s="1">
        <v>1</v>
      </c>
      <c r="N161" s="1">
        <v>0</v>
      </c>
      <c r="O161" s="1">
        <v>1</v>
      </c>
      <c r="P161" s="1">
        <v>1</v>
      </c>
      <c r="Q161" s="1">
        <v>0</v>
      </c>
      <c r="R161" s="1">
        <v>0</v>
      </c>
      <c r="S161" s="1">
        <v>0</v>
      </c>
      <c r="U161">
        <f>SUM(B161:S161)</f>
        <v>10</v>
      </c>
      <c r="W161" t="s">
        <v>121</v>
      </c>
    </row>
    <row r="162" spans="1:23" x14ac:dyDescent="0.4">
      <c r="A162" t="s">
        <v>122</v>
      </c>
      <c r="B162" s="1">
        <v>1</v>
      </c>
      <c r="C162" s="1">
        <v>0</v>
      </c>
      <c r="D162" s="1">
        <v>0</v>
      </c>
      <c r="E162" s="1">
        <v>1</v>
      </c>
      <c r="F162" s="1">
        <v>0</v>
      </c>
      <c r="G162" s="1">
        <v>0</v>
      </c>
      <c r="H162" s="1">
        <v>1</v>
      </c>
      <c r="I162" s="1">
        <v>1</v>
      </c>
      <c r="J162" s="1">
        <v>0</v>
      </c>
      <c r="K162" s="1">
        <v>0</v>
      </c>
      <c r="L162" s="1">
        <v>1</v>
      </c>
      <c r="M162" s="1">
        <v>1</v>
      </c>
      <c r="N162" s="1">
        <v>1</v>
      </c>
      <c r="O162" s="1">
        <v>1</v>
      </c>
      <c r="P162" s="1">
        <v>1</v>
      </c>
      <c r="Q162" s="1">
        <v>0</v>
      </c>
      <c r="R162" s="1">
        <v>0</v>
      </c>
      <c r="S162" s="1">
        <v>0</v>
      </c>
      <c r="T162" s="1">
        <v>0</v>
      </c>
      <c r="U162">
        <f>SUM(B162:S162)</f>
        <v>9</v>
      </c>
      <c r="W162" t="s">
        <v>122</v>
      </c>
    </row>
    <row r="163" spans="1:23" x14ac:dyDescent="0.4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U163">
        <f>SUM(B163:S163)</f>
        <v>0</v>
      </c>
    </row>
    <row r="164" spans="1:23" x14ac:dyDescent="0.4">
      <c r="A164" t="s">
        <v>24</v>
      </c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U164">
        <f>SUM(B164:S164)</f>
        <v>0</v>
      </c>
      <c r="W164" t="s">
        <v>24</v>
      </c>
    </row>
    <row r="165" spans="1:23" x14ac:dyDescent="0.4">
      <c r="A165" t="s">
        <v>123</v>
      </c>
      <c r="B165" s="1">
        <v>1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1</v>
      </c>
      <c r="I165" s="1">
        <v>1</v>
      </c>
      <c r="J165" s="1">
        <v>1</v>
      </c>
      <c r="K165" s="1">
        <v>1</v>
      </c>
      <c r="L165" s="1">
        <v>0</v>
      </c>
      <c r="M165" s="1">
        <v>1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U165">
        <f>SUM(B165:S165)</f>
        <v>6</v>
      </c>
      <c r="W165" t="s">
        <v>123</v>
      </c>
    </row>
    <row r="166" spans="1:23" x14ac:dyDescent="0.4">
      <c r="A166" t="s">
        <v>124</v>
      </c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U166">
        <f>SUM(B166:S166)</f>
        <v>0</v>
      </c>
      <c r="W166" t="s">
        <v>124</v>
      </c>
    </row>
    <row r="167" spans="1:23" x14ac:dyDescent="0.4">
      <c r="A167" t="s">
        <v>125</v>
      </c>
      <c r="B167" s="1">
        <v>1</v>
      </c>
      <c r="C167" s="1">
        <v>0</v>
      </c>
      <c r="D167" s="1">
        <v>0</v>
      </c>
      <c r="E167" s="1">
        <v>1</v>
      </c>
      <c r="F167" s="1">
        <v>1</v>
      </c>
      <c r="G167" s="1">
        <v>0</v>
      </c>
      <c r="H167" s="1">
        <v>1</v>
      </c>
      <c r="I167" s="1">
        <v>0</v>
      </c>
      <c r="J167" s="1">
        <v>1</v>
      </c>
      <c r="K167" s="1">
        <v>1</v>
      </c>
      <c r="L167" s="1">
        <v>1</v>
      </c>
      <c r="M167" s="1">
        <v>1</v>
      </c>
      <c r="N167" s="1">
        <v>0</v>
      </c>
      <c r="O167" s="1">
        <v>1</v>
      </c>
      <c r="P167" s="1">
        <v>0</v>
      </c>
      <c r="Q167" s="1">
        <v>0</v>
      </c>
      <c r="R167">
        <v>1</v>
      </c>
      <c r="S167">
        <v>1</v>
      </c>
      <c r="U167">
        <f>SUM(B167:S167)</f>
        <v>11</v>
      </c>
      <c r="W167" t="s">
        <v>125</v>
      </c>
    </row>
    <row r="168" spans="1:23" x14ac:dyDescent="0.4">
      <c r="A168" t="s">
        <v>126</v>
      </c>
      <c r="B168" s="1">
        <v>1</v>
      </c>
      <c r="C168" s="1">
        <v>0</v>
      </c>
      <c r="D168" s="1">
        <v>0</v>
      </c>
      <c r="E168" s="1">
        <v>1</v>
      </c>
      <c r="F168" s="1">
        <v>1</v>
      </c>
      <c r="G168" s="1">
        <v>0</v>
      </c>
      <c r="H168" s="1">
        <v>1</v>
      </c>
      <c r="I168" s="1">
        <v>1</v>
      </c>
      <c r="J168" s="1">
        <v>1</v>
      </c>
      <c r="K168" s="1">
        <v>1</v>
      </c>
      <c r="L168" s="1">
        <v>1</v>
      </c>
      <c r="M168" s="1">
        <v>1</v>
      </c>
      <c r="N168" s="1">
        <v>1</v>
      </c>
      <c r="O168" s="1">
        <v>1</v>
      </c>
      <c r="P168" s="1">
        <v>1</v>
      </c>
      <c r="Q168" s="1">
        <v>0</v>
      </c>
      <c r="R168" s="1">
        <v>0</v>
      </c>
      <c r="S168" s="1">
        <v>0</v>
      </c>
      <c r="U168">
        <f>SUM(B168:S168)</f>
        <v>12</v>
      </c>
      <c r="W168" t="s">
        <v>126</v>
      </c>
    </row>
    <row r="169" spans="1:23" x14ac:dyDescent="0.4">
      <c r="A169" t="s">
        <v>127</v>
      </c>
      <c r="B169" s="1">
        <v>1</v>
      </c>
      <c r="C169" s="1">
        <v>0</v>
      </c>
      <c r="D169" s="1">
        <v>0</v>
      </c>
      <c r="E169" s="1">
        <v>1</v>
      </c>
      <c r="F169" s="1">
        <v>1</v>
      </c>
      <c r="G169" s="1">
        <v>0</v>
      </c>
      <c r="H169" s="1">
        <v>1</v>
      </c>
      <c r="I169" s="1">
        <v>1</v>
      </c>
      <c r="J169" s="1">
        <v>1</v>
      </c>
      <c r="K169" s="1">
        <v>1</v>
      </c>
      <c r="L169" s="1">
        <v>1</v>
      </c>
      <c r="M169" s="1">
        <v>1</v>
      </c>
      <c r="N169" s="1">
        <v>1</v>
      </c>
      <c r="O169" s="1">
        <v>1</v>
      </c>
      <c r="P169" s="1">
        <v>1</v>
      </c>
      <c r="Q169" s="1">
        <v>0</v>
      </c>
      <c r="R169" s="1">
        <v>0</v>
      </c>
      <c r="S169" s="1">
        <v>0</v>
      </c>
      <c r="U169">
        <f>SUM(B169:S169)</f>
        <v>12</v>
      </c>
      <c r="W169" t="s">
        <v>127</v>
      </c>
    </row>
    <row r="170" spans="1:23" x14ac:dyDescent="0.4">
      <c r="B170" s="1">
        <f>SUM(B3:B169)</f>
        <v>109</v>
      </c>
      <c r="C170" s="1">
        <v>54</v>
      </c>
      <c r="D170" s="1">
        <f>SUM(D3:D169)</f>
        <v>21</v>
      </c>
      <c r="E170" s="1">
        <f>SUM(E3:E169)</f>
        <v>108</v>
      </c>
      <c r="F170" s="1">
        <f>SUM(F3:F169)</f>
        <v>76</v>
      </c>
      <c r="G170" s="1">
        <v>16</v>
      </c>
      <c r="H170" s="1">
        <f>SUM(H3:H169)</f>
        <v>99</v>
      </c>
      <c r="I170" s="1">
        <v>88</v>
      </c>
      <c r="J170" s="1">
        <v>98</v>
      </c>
      <c r="K170" s="1">
        <f>SUM(K3:K169)</f>
        <v>78</v>
      </c>
      <c r="L170" s="1">
        <f>SUM(L3:L169)</f>
        <v>93</v>
      </c>
      <c r="M170" s="1">
        <v>107</v>
      </c>
      <c r="N170" s="1">
        <v>47</v>
      </c>
      <c r="O170" s="1">
        <v>103</v>
      </c>
      <c r="P170" s="1">
        <v>32</v>
      </c>
      <c r="Q170" s="1">
        <v>14</v>
      </c>
      <c r="R170" s="1">
        <v>21</v>
      </c>
      <c r="S170" s="1">
        <f>SUM(S3:S169)</f>
        <v>6</v>
      </c>
    </row>
    <row r="171" spans="1:23" x14ac:dyDescent="0.4">
      <c r="A171">
        <v>118</v>
      </c>
      <c r="B171">
        <f>B170/A171</f>
        <v>0.92372881355932202</v>
      </c>
      <c r="C171">
        <f>C170/A171</f>
        <v>0.4576271186440678</v>
      </c>
      <c r="D171">
        <f>D170/A171</f>
        <v>0.17796610169491525</v>
      </c>
      <c r="E171">
        <f>E170/118</f>
        <v>0.9152542372881356</v>
      </c>
      <c r="F171">
        <f>F170/118</f>
        <v>0.64406779661016944</v>
      </c>
      <c r="G171">
        <f t="shared" ref="G171:S171" si="0">G170/118</f>
        <v>0.13559322033898305</v>
      </c>
      <c r="H171">
        <f t="shared" si="0"/>
        <v>0.83898305084745761</v>
      </c>
      <c r="I171">
        <f t="shared" si="0"/>
        <v>0.74576271186440679</v>
      </c>
      <c r="J171">
        <f t="shared" si="0"/>
        <v>0.83050847457627119</v>
      </c>
      <c r="K171">
        <f t="shared" si="0"/>
        <v>0.66101694915254239</v>
      </c>
      <c r="L171">
        <f t="shared" si="0"/>
        <v>0.78813559322033899</v>
      </c>
      <c r="M171">
        <f t="shared" si="0"/>
        <v>0.90677966101694918</v>
      </c>
      <c r="N171">
        <f t="shared" si="0"/>
        <v>0.39830508474576271</v>
      </c>
      <c r="O171">
        <f t="shared" si="0"/>
        <v>0.8728813559322034</v>
      </c>
      <c r="P171">
        <f t="shared" si="0"/>
        <v>0.2711864406779661</v>
      </c>
      <c r="Q171">
        <f t="shared" si="0"/>
        <v>0.11864406779661017</v>
      </c>
      <c r="R171">
        <f>R170/118</f>
        <v>0.17796610169491525</v>
      </c>
      <c r="S171">
        <f t="shared" si="0"/>
        <v>5.0847457627118647E-2</v>
      </c>
    </row>
    <row r="173" spans="1:23" x14ac:dyDescent="0.4">
      <c r="B173" t="s">
        <v>25</v>
      </c>
      <c r="C173" t="s">
        <v>26</v>
      </c>
      <c r="D173" t="s">
        <v>27</v>
      </c>
      <c r="E173" t="s">
        <v>28</v>
      </c>
      <c r="F173" t="s">
        <v>29</v>
      </c>
      <c r="G173" t="s">
        <v>27</v>
      </c>
      <c r="H173" t="s">
        <v>30</v>
      </c>
      <c r="I173" t="s">
        <v>31</v>
      </c>
      <c r="J173" t="s">
        <v>32</v>
      </c>
      <c r="K173" t="s">
        <v>36</v>
      </c>
      <c r="L173" t="s">
        <v>33</v>
      </c>
      <c r="M173" t="s">
        <v>34</v>
      </c>
      <c r="N173" t="s">
        <v>35</v>
      </c>
      <c r="O173" t="s">
        <v>37</v>
      </c>
      <c r="P173" t="s">
        <v>38</v>
      </c>
      <c r="Q173" t="s">
        <v>102</v>
      </c>
      <c r="R173" t="s">
        <v>46</v>
      </c>
      <c r="S173" t="s">
        <v>51</v>
      </c>
    </row>
  </sheetData>
  <autoFilter ref="U1:U173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2025-09-25T02:36:14Z</dcterms:modified>
</cp:coreProperties>
</file>